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FB82699C-9883-BB4F-B443-1A9CD83AFAD3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raw_data" sheetId="1" r:id="rId1"/>
    <sheet name="cleaned_data" sheetId="2" r:id="rId2"/>
    <sheet name="EDA" sheetId="3" r:id="rId3"/>
  </sheets>
  <definedNames>
    <definedName name="ExternalData_1" localSheetId="1" hidden="1">cleaned_data!$A$1:$N$1201</definedName>
  </definedNames>
  <calcPr calcId="124519"/>
  <pivotCaches>
    <pivotCache cacheId="16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1B6C51-6391-E64B-ACFC-CF78D839EBD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<sst xmlns="http://schemas.openxmlformats.org/spreadsheetml/2006/main" count="21385" uniqueCount="4310">
  <si>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</si>
  <si>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</si>
  <si>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</si>
  <si>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</si>
  <si>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</si>
  <si>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</si>
  <si>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</si>
  <si>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</si>
  <si>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</si>
  <si>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</si>
  <si>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</si>
  <si>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</si>
  <si>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</si>
  <si>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</si>
  <si>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</si>
  <si>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</si>
  <si>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</si>
  <si>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</si>
  <si>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</si>
  <si>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</si>
  <si>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</si>
  <si>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</si>
  <si>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</si>
  <si>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</si>
  <si>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</si>
  <si>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</si>
  <si>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</si>
  <si>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</si>
  <si>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</si>
  <si>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</si>
  <si>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</si>
  <si>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</si>
  <si>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</si>
  <si>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</si>
  <si>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</si>
  <si>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</si>
  <si>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</si>
  <si>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</si>
  <si>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</si>
  <si>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</si>
  <si>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</si>
  <si>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</si>
  <si>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</si>
  <si>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</si>
  <si>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</si>
  <si>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</si>
  <si>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</si>
  <si>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</si>
  <si>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</si>
  <si>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</si>
  <si>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</si>
  <si>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</si>
  <si>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</si>
  <si>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</si>
  <si>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</si>
  <si>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</si>
  <si>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</si>
  <si>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</si>
  <si>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</si>
  <si>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</si>
  <si>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</si>
  <si>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</si>
  <si>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</si>
  <si>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</si>
  <si>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</si>
  <si>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</si>
  <si>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</si>
  <si>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</si>
  <si>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</si>
  <si>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</si>
  <si>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</si>
  <si>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</si>
  <si>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</si>
  <si>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</si>
  <si>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</si>
  <si>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</si>
  <si>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</si>
  <si>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</si>
  <si>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</si>
  <si>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</si>
  <si>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</si>
  <si>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</si>
  <si>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</si>
  <si>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</si>
  <si>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</si>
  <si>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</si>
  <si>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</si>
  <si>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</si>
  <si>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</si>
  <si>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</si>
  <si>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</si>
  <si>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</si>
  <si>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</si>
  <si>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</si>
  <si>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</si>
  <si>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</si>
  <si>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</si>
  <si>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</si>
  <si>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</si>
  <si>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</si>
  <si>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</si>
  <si>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</si>
  <si>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</si>
  <si>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</si>
  <si>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</si>
  <si>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</si>
  <si>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</si>
  <si>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</si>
  <si>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</si>
  <si>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</si>
  <si>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</si>
  <si>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</si>
  <si>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</si>
  <si>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</si>
  <si>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</si>
  <si>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</si>
  <si>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</si>
  <si>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</si>
  <si>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</si>
  <si>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</si>
  <si>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</si>
  <si>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</si>
  <si>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</si>
  <si>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</si>
  <si>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</si>
  <si>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</si>
  <si>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</si>
  <si>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</si>
  <si>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</si>
  <si>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</si>
  <si>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</si>
  <si>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</si>
  <si>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</si>
  <si>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</si>
  <si>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</si>
  <si>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</si>
  <si>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</si>
  <si>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</si>
  <si>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</si>
  <si>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</si>
  <si>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</si>
  <si>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</si>
  <si>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</si>
  <si>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</si>
  <si>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</si>
  <si>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</si>
  <si>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</si>
  <si>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</si>
  <si>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</si>
  <si>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</si>
  <si>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</si>
  <si>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</si>
  <si>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</si>
  <si>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</si>
  <si>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</si>
  <si>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</si>
  <si>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</si>
  <si>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</si>
  <si>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</si>
  <si>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</si>
  <si>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</si>
  <si>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</si>
  <si>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</si>
  <si>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</si>
  <si>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</si>
  <si>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</si>
  <si>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</si>
  <si>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</si>
  <si>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</si>
  <si>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</si>
  <si>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</si>
  <si>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</si>
  <si>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</si>
  <si>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</si>
  <si>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</si>
  <si>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</si>
  <si>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</si>
  <si>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</si>
  <si>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</si>
  <si>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</si>
  <si>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</si>
  <si>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</si>
  <si>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</si>
  <si>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</si>
  <si>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</si>
  <si>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</si>
  <si>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</si>
  <si>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</si>
  <si>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</si>
  <si>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</si>
  <si>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</si>
  <si>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</si>
  <si>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</si>
  <si>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</si>
  <si>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</si>
  <si>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</si>
  <si>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</si>
  <si>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</si>
  <si>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</si>
  <si>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</si>
  <si>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</si>
  <si>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</si>
  <si>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</si>
  <si>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</si>
  <si>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</si>
  <si>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</si>
  <si>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</si>
  <si>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</si>
  <si>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</si>
  <si>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</si>
  <si>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</si>
  <si>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</si>
  <si>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</si>
  <si>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</si>
  <si>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</si>
  <si>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</si>
  <si>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</si>
  <si>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</si>
  <si>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</si>
  <si>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</si>
  <si>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</si>
  <si>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</si>
  <si>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</si>
  <si>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</si>
  <si>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</si>
  <si>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</si>
  <si>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</si>
  <si>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</si>
  <si>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</si>
  <si>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</si>
  <si>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</si>
  <si>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</si>
  <si>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</si>
  <si>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</si>
  <si>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</si>
  <si>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</si>
  <si>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</si>
  <si>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</si>
  <si>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</si>
  <si>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</si>
  <si>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</si>
  <si>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</si>
  <si>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</si>
  <si>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</si>
  <si>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</si>
  <si>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</si>
  <si>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</si>
  <si>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</si>
  <si>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</si>
  <si>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</si>
  <si>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</si>
  <si>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</si>
  <si>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</si>
  <si>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</si>
  <si>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</si>
  <si>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</si>
  <si>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</si>
  <si>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</si>
  <si>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</si>
  <si>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</si>
  <si>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</si>
  <si>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</si>
  <si>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</si>
  <si>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</si>
  <si>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</si>
  <si>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</si>
  <si>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</si>
  <si>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</si>
  <si>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</si>
  <si>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</si>
  <si>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</si>
  <si>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</si>
  <si>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</si>
  <si>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</si>
  <si>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</si>
  <si>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</si>
  <si>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</si>
  <si>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</si>
  <si>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</si>
  <si>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</si>
  <si>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</si>
  <si>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</si>
  <si>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</si>
  <si>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</si>
  <si>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</si>
  <si>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</si>
  <si>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</si>
  <si>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</si>
  <si>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</si>
  <si>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</si>
  <si>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</si>
  <si>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</si>
  <si>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</si>
  <si>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</si>
  <si>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</si>
  <si>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</si>
  <si>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</si>
  <si>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</si>
  <si>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</si>
  <si>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</si>
  <si>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</si>
  <si>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</si>
  <si>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</si>
  <si>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</si>
  <si>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</si>
  <si>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</si>
  <si>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</si>
  <si>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</si>
  <si>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</si>
  <si>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</si>
  <si>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</si>
  <si>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</si>
  <si>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</si>
  <si>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</si>
  <si>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</si>
  <si>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</si>
  <si>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</si>
  <si>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</si>
  <si>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</si>
  <si>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</si>
  <si>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</si>
  <si>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</si>
  <si>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</si>
  <si>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</si>
  <si>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</si>
  <si>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</si>
  <si>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</si>
  <si>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</si>
  <si>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</si>
  <si>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</si>
  <si>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</si>
  <si>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</si>
  <si>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</si>
  <si>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</si>
  <si>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</si>
  <si>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</si>
  <si>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</si>
  <si>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</si>
  <si>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</si>
  <si>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</si>
  <si>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</si>
  <si>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</si>
  <si>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</si>
  <si>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</si>
  <si>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</si>
  <si>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</si>
  <si>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</si>
  <si>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</si>
  <si>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</si>
  <si>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</si>
  <si>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</si>
  <si>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</si>
  <si>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</si>
  <si>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</si>
  <si>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</si>
  <si>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</si>
  <si>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</si>
  <si>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</si>
  <si>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</si>
  <si>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</si>
  <si>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</si>
  <si>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</si>
  <si>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</si>
  <si>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</si>
  <si>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</si>
  <si>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</si>
  <si>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</si>
  <si>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</si>
  <si>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</si>
  <si>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</si>
  <si>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</si>
  <si>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</si>
  <si>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</si>
  <si>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</si>
  <si>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</si>
  <si>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</si>
  <si>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</si>
  <si>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</si>
  <si>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</si>
  <si>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</si>
  <si>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</si>
  <si>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</si>
  <si>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</si>
  <si>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</si>
  <si>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</si>
  <si>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</si>
  <si>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</si>
  <si>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</si>
  <si>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</si>
  <si>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</si>
  <si>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</si>
  <si>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</si>
  <si>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</si>
  <si>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</si>
  <si>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</si>
  <si>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</si>
  <si>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</si>
  <si>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</si>
  <si>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</si>
  <si>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</si>
  <si>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</si>
  <si>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</si>
  <si>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</si>
  <si>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</si>
  <si>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</si>
  <si>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</si>
  <si>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</si>
  <si>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</si>
  <si>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</si>
  <si>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</si>
  <si>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</si>
  <si>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</si>
  <si>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</si>
  <si>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</si>
  <si>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</si>
  <si>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</si>
  <si>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</si>
  <si>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</si>
  <si>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</si>
  <si>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</si>
  <si>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</si>
  <si>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</si>
  <si>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</si>
  <si>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</si>
  <si>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</si>
  <si>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</si>
  <si>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</si>
  <si>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</si>
  <si>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</si>
  <si>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</si>
  <si>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</si>
  <si>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</si>
  <si>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</si>
  <si>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</si>
  <si>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</si>
  <si>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</si>
  <si>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</si>
  <si>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</si>
  <si>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</si>
  <si>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</si>
  <si>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</si>
  <si>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</si>
  <si>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</si>
  <si>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</si>
  <si>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</si>
  <si>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</si>
  <si>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</si>
  <si>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</si>
  <si>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</si>
  <si>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</si>
  <si>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</si>
  <si>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</si>
  <si>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</si>
  <si>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</si>
  <si>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</si>
  <si>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</si>
  <si>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</si>
  <si>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</si>
  <si>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</si>
  <si>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</si>
  <si>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</si>
  <si>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</si>
  <si>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</si>
  <si>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</si>
  <si>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</si>
  <si>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</si>
  <si>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</si>
  <si>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</si>
  <si>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</si>
  <si>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</si>
  <si>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</si>
  <si>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</si>
  <si>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</si>
  <si>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</si>
  <si>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</si>
  <si>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</si>
  <si>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</si>
  <si>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</si>
  <si>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</si>
  <si>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</si>
  <si>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</si>
  <si>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</si>
  <si>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</si>
  <si>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</si>
  <si>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</si>
  <si>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</si>
  <si>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</si>
  <si>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</si>
  <si>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</si>
  <si>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</si>
  <si>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</si>
  <si>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</si>
  <si>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</si>
  <si>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</si>
  <si>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</si>
  <si>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</si>
  <si>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</si>
  <si>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</si>
  <si>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</si>
  <si>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</si>
  <si>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</si>
  <si>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</si>
  <si>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</si>
  <si>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</si>
  <si>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</si>
  <si>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</si>
  <si>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</si>
  <si>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</si>
  <si>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</si>
  <si>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</si>
  <si>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</si>
  <si>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</si>
  <si>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</si>
  <si>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</si>
  <si>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</si>
  <si>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</si>
  <si>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</si>
  <si>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</si>
  <si>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</si>
  <si>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</si>
  <si>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</si>
  <si>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</si>
  <si>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</si>
  <si>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</si>
  <si>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</si>
  <si>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</si>
  <si>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</si>
  <si>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</si>
  <si>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</si>
  <si>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</si>
  <si>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</si>
  <si>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</si>
  <si>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</si>
  <si>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</si>
  <si>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</si>
  <si>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</si>
  <si>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</si>
  <si>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</si>
  <si>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</si>
  <si>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</si>
  <si>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</si>
  <si>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</si>
  <si>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</si>
  <si>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</si>
  <si>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</si>
  <si>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</si>
  <si>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</si>
  <si>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</si>
  <si>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</si>
  <si>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</si>
  <si>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</si>
  <si>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</si>
  <si>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</si>
  <si>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</si>
  <si>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</si>
  <si>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</si>
  <si>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</si>
  <si>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</si>
  <si>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</si>
  <si>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</si>
  <si>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</si>
  <si>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</si>
  <si>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</si>
  <si>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</si>
  <si>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</si>
  <si>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</si>
  <si>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</si>
  <si>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</si>
  <si>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</si>
  <si>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</si>
  <si>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</si>
  <si>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</si>
  <si>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</si>
  <si>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</si>
  <si>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</si>
  <si>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</si>
  <si>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</si>
  <si>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</si>
  <si>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</si>
  <si>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</si>
  <si>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</si>
  <si>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</si>
  <si>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</si>
  <si>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</si>
  <si>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</si>
  <si>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</si>
  <si>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</si>
  <si>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</si>
  <si>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</si>
  <si>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</si>
  <si>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</si>
  <si>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</si>
  <si>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</si>
  <si>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</si>
  <si>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</si>
  <si>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</si>
  <si>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</si>
  <si>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</si>
  <si>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</si>
  <si>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</si>
  <si>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</si>
  <si>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</si>
  <si>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</si>
  <si>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</si>
  <si>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</si>
  <si>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</si>
  <si>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</si>
  <si>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</si>
  <si>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</si>
  <si>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</si>
  <si>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</si>
  <si>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</si>
  <si>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</si>
  <si>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</si>
  <si>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</si>
  <si>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</si>
  <si>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</si>
  <si>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</si>
  <si>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</si>
  <si>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</si>
  <si>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</si>
  <si>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</si>
  <si>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</si>
  <si>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</si>
  <si>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</si>
  <si>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</si>
  <si>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</si>
  <si>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</si>
  <si>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</si>
  <si>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</si>
  <si>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</si>
  <si>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</si>
  <si>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</si>
  <si>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</si>
  <si>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</si>
  <si>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</si>
  <si>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</si>
  <si>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</si>
  <si>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</si>
  <si>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</si>
  <si>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</si>
  <si>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</si>
  <si>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</si>
  <si>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</si>
  <si>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</si>
  <si>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</si>
  <si>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</si>
  <si>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</si>
  <si>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</si>
  <si>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</si>
  <si>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</si>
  <si>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</si>
  <si>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</si>
  <si>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</si>
  <si>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</si>
  <si>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</si>
  <si>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</si>
  <si>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</si>
  <si>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</si>
  <si>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</si>
  <si>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</si>
  <si>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</si>
  <si>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</si>
  <si>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</si>
  <si>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</si>
  <si>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</si>
  <si>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</si>
  <si>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</si>
  <si>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</si>
  <si>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</si>
  <si>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</si>
  <si>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</si>
  <si>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</si>
  <si>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</si>
  <si>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</si>
  <si>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</si>
  <si>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</si>
  <si>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</si>
  <si>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</si>
  <si>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</si>
  <si>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</si>
  <si>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</si>
  <si>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</si>
  <si>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</si>
  <si>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</si>
  <si>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</si>
  <si>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</si>
  <si>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</si>
  <si>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</si>
  <si>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</si>
  <si>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</si>
  <si>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</si>
  <si>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</si>
  <si>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</si>
  <si>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</si>
  <si>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</si>
  <si>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</si>
  <si>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</si>
  <si>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</si>
  <si>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</si>
  <si>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</si>
  <si>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</si>
  <si>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</si>
  <si>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</si>
  <si>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</si>
  <si>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</si>
  <si>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</si>
  <si>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</si>
  <si>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</si>
  <si>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</si>
  <si>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</si>
  <si>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</si>
  <si>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</si>
  <si>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</si>
  <si>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</si>
  <si>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</si>
  <si>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</si>
  <si>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</si>
  <si>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</si>
  <si>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</si>
  <si>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</si>
  <si>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</si>
  <si>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</si>
  <si>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</si>
  <si>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</si>
  <si>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</si>
  <si>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</si>
  <si>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</si>
  <si>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</si>
  <si>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</si>
  <si>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</si>
  <si>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</si>
  <si>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</si>
  <si>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</si>
  <si>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</si>
  <si>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</si>
  <si>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</si>
  <si>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</si>
  <si>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</si>
  <si>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</si>
  <si>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</si>
  <si>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</si>
  <si>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</si>
  <si>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</si>
  <si>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</si>
  <si>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</si>
  <si>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</si>
  <si>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</si>
  <si>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</si>
  <si>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</si>
  <si>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</si>
  <si>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</si>
  <si>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</si>
  <si>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</si>
  <si>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</si>
  <si>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</si>
  <si>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</si>
  <si>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</si>
  <si>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</si>
  <si>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</si>
  <si>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</si>
  <si>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</si>
  <si>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</si>
  <si>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</si>
  <si>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</si>
  <si>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</si>
  <si>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</si>
  <si>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</si>
  <si>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</si>
  <si>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</si>
  <si>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</si>
  <si>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</si>
  <si>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</si>
  <si>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</si>
  <si>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</si>
  <si>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</si>
  <si>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</si>
  <si>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</si>
  <si>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</si>
  <si>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</si>
  <si>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</si>
  <si>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</si>
  <si>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</si>
  <si>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</si>
  <si>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</si>
  <si>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</si>
  <si>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</si>
  <si>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</si>
  <si>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</si>
  <si>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</si>
  <si>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</si>
  <si>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</si>
  <si>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</si>
  <si>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</si>
  <si>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</si>
  <si>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</si>
  <si>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</si>
  <si>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</si>
  <si>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</si>
  <si>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</si>
  <si>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</si>
  <si>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</si>
  <si>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</si>
  <si>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</si>
  <si>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</si>
  <si>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</si>
  <si>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</si>
  <si>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</si>
  <si>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</si>
  <si>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</si>
  <si>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</si>
  <si>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</si>
  <si>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</si>
  <si>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</si>
  <si>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</si>
  <si>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</si>
  <si>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</si>
  <si>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</si>
  <si>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</si>
  <si>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</si>
  <si>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</si>
  <si>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</si>
  <si>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</si>
  <si>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</si>
  <si>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</si>
  <si>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</si>
  <si>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</si>
  <si>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</si>
  <si>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</si>
  <si>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</si>
  <si>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</si>
  <si>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</si>
  <si>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</si>
  <si>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</si>
  <si>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</si>
  <si>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</si>
  <si>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</si>
  <si>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</si>
  <si>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</si>
  <si>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</si>
  <si>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</si>
  <si>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</si>
  <si>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</si>
  <si>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</si>
  <si>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</si>
  <si>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</si>
  <si>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</si>
  <si>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</si>
  <si>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</si>
  <si>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</si>
  <si>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</si>
  <si>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</si>
  <si>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</si>
  <si>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</si>
  <si>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</si>
  <si>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</si>
  <si>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</si>
  <si>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</si>
  <si>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</si>
  <si>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</si>
  <si>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</si>
  <si>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</si>
  <si>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</si>
  <si>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</si>
  <si>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</si>
  <si>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</si>
  <si>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</si>
  <si>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</si>
  <si>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</si>
  <si>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</si>
  <si>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</si>
  <si>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</si>
  <si>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</si>
  <si>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</si>
  <si>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</si>
  <si>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</si>
  <si>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</si>
  <si>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</si>
  <si>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</si>
  <si>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</si>
  <si>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</si>
  <si>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</si>
  <si>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</si>
  <si>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</si>
  <si>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</si>
  <si>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</si>
  <si>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</si>
  <si>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</si>
  <si>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</si>
  <si>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</si>
  <si>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</si>
  <si>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</si>
  <si>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</si>
  <si>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</si>
  <si>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</si>
  <si>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</si>
  <si>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</si>
  <si>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</si>
  <si>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</si>
  <si>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</si>
  <si>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</si>
  <si>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</si>
  <si>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</si>
  <si>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</si>
  <si>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</si>
  <si>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</si>
  <si>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</si>
  <si>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</si>
  <si>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</si>
  <si>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</si>
  <si>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</si>
  <si>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</si>
  <si>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</si>
  <si>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</si>
  <si>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</si>
  <si>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</si>
  <si>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</si>
  <si>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</si>
  <si>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</si>
  <si>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</si>
  <si>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</si>
  <si>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</si>
  <si>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</si>
  <si>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</si>
  <si>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</si>
  <si>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</si>
  <si>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</si>
  <si>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</si>
  <si>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</si>
  <si>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</si>
  <si>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</si>
  <si>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</si>
  <si>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</si>
  <si>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</si>
  <si>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</si>
  <si>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</si>
  <si>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</si>
  <si>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</si>
  <si>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</si>
  <si>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</si>
  <si>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</si>
  <si>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</si>
  <si>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</si>
  <si>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</si>
  <si>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</si>
  <si>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</si>
  <si>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</si>
  <si>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</si>
  <si>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</si>
  <si>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</si>
  <si>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</si>
  <si>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</si>
  <si>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</si>
  <si>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</si>
  <si>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</si>
  <si>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</si>
  <si>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</si>
  <si>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</si>
  <si>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</si>
  <si>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</si>
  <si>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</si>
  <si>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</si>
  <si>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</si>
  <si>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</si>
  <si>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</si>
  <si>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</si>
  <si>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</si>
  <si>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</si>
  <si>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</si>
  <si>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</si>
  <si>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</si>
  <si>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</si>
  <si>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</si>
  <si>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</si>
  <si>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</si>
  <si>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</si>
  <si>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</si>
  <si>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</si>
  <si>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</si>
  <si>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</si>
  <si>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</si>
  <si>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</si>
  <si>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</si>
  <si>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</si>
  <si>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</si>
  <si>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</si>
  <si>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</si>
  <si>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</si>
  <si>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</si>
  <si>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</si>
  <si>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</si>
  <si>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</si>
  <si>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</si>
  <si>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</si>
  <si>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</si>
  <si>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</si>
  <si>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</si>
  <si>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</si>
  <si>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</si>
  <si>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</si>
  <si>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</si>
  <si>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</si>
  <si>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</si>
  <si>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</si>
  <si>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</si>
  <si>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</si>
  <si>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</si>
  <si>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</si>
  <si>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</si>
  <si>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</si>
  <si>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</si>
  <si>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</si>
  <si>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</si>
  <si>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</si>
  <si>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</si>
  <si>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</si>
  <si>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</si>
  <si>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</si>
  <si>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</si>
  <si>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</si>
  <si>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</si>
  <si>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</si>
  <si>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</si>
  <si>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</si>
  <si>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</si>
  <si>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</si>
  <si>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</si>
  <si>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</si>
  <si>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</si>
  <si>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</si>
  <si>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</si>
  <si>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</si>
  <si>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</si>
  <si>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</si>
  <si>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</si>
  <si>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</si>
  <si>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</si>
  <si>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</si>
  <si>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</si>
  <si>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</si>
  <si>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</si>
  <si>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</si>
  <si>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</si>
  <si>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</si>
  <si>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</si>
  <si>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</si>
  <si>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</si>
  <si>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</si>
  <si>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</si>
  <si>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</si>
  <si>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</si>
  <si>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</si>
  <si>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</si>
  <si>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</si>
  <si>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</si>
  <si>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</si>
  <si>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</si>
  <si>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</si>
  <si>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</si>
  <si>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</si>
  <si>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</si>
  <si>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</si>
  <si>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</si>
  <si>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</si>
  <si>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</si>
  <si>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</si>
  <si>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</si>
  <si>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</si>
  <si>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</si>
  <si>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</si>
  <si>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</si>
  <si>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</si>
  <si>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</si>
  <si>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</si>
  <si>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</si>
  <si>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</si>
  <si>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</si>
  <si>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</si>
  <si>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</si>
  <si>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</si>
  <si>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</si>
  <si>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</si>
  <si>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</si>
  <si>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</si>
  <si>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</si>
  <si>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</si>
  <si>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</si>
  <si>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</si>
  <si>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</si>
  <si>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</si>
  <si>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</si>
  <si>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</si>
  <si>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</si>
  <si>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</si>
  <si>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</si>
  <si>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</si>
  <si>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</si>
  <si>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</si>
  <si>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</si>
  <si>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</si>
  <si>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</si>
  <si>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</si>
  <si>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</si>
  <si>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</si>
  <si>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</si>
  <si>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</si>
  <si>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</si>
  <si>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</si>
  <si>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</si>
  <si>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</si>
  <si>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</si>
  <si>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</si>
  <si>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</si>
  <si>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</si>
  <si>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</si>
  <si>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</si>
  <si>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</si>
  <si>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</si>
  <si>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</si>
  <si>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</si>
  <si>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</si>
  <si>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</si>
  <si>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</si>
  <si>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</si>
  <si>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</si>
  <si>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</si>
  <si>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</si>
  <si>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</si>
  <si>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</si>
  <si>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</si>
  <si>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</si>
  <si>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</si>
  <si>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</si>
  <si>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</si>
  <si>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</si>
  <si>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</si>
  <si>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</si>
  <si>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</si>
  <si>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</si>
  <si>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</si>
  <si>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</si>
  <si>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</si>
  <si>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</si>
  <si>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</si>
  <si>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</si>
  <si>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</si>
  <si>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</si>
  <si>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</si>
  <si>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</si>
  <si>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</si>
  <si>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</si>
  <si>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</si>
  <si>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</si>
  <si>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</si>
  <si>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</si>
  <si>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</si>
  <si>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</si>
  <si>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</si>
  <si>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</si>
  <si>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</si>
  <si>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</si>
  <si>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</si>
  <si>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</si>
  <si>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</si>
  <si>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</si>
  <si>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</si>
  <si>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</si>
  <si>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</si>
  <si>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</si>
  <si>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</si>
  <si>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</si>
  <si>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</si>
  <si>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</si>
  <si>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</si>
  <si>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</si>
  <si>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</si>
  <si>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</si>
  <si>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</si>
  <si>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</si>
  <si>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</si>
  <si>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</si>
  <si>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</si>
  <si>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</si>
  <si>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</si>
  <si>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</si>
  <si>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</si>
  <si>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</si>
  <si>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</si>
  <si>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</si>
  <si>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</si>
  <si>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</si>
  <si>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</si>
  <si>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</si>
  <si>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</si>
  <si>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</si>
  <si>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</si>
  <si>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</si>
  <si>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</si>
  <si>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</si>
  <si>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</si>
  <si>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</si>
  <si>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</si>
  <si>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</si>
  <si>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</si>
  <si>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</si>
  <si>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</si>
  <si>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</si>
  <si>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</si>
  <si>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</si>
  <si>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</si>
  <si>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</si>
  <si>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</si>
  <si>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</si>
  <si>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</si>
  <si>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</si>
  <si>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</si>
  <si>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</si>
  <si>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</si>
  <si>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</si>
  <si>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</si>
  <si>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</si>
  <si>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</si>
  <si>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</si>
  <si>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</si>
  <si>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</si>
  <si>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</si>
  <si>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</si>
  <si>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</si>
  <si>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</si>
  <si>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</si>
  <si>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</si>
  <si>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</si>
  <si>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</si>
  <si>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</si>
  <si>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</si>
  <si>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</si>
  <si>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</si>
  <si>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</si>
  <si>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</si>
  <si>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</si>
  <si>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</si>
  <si>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</si>
  <si>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</si>
  <si>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</si>
  <si>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</si>
  <si>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</si>
  <si>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</si>
  <si>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</si>
  <si>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</si>
  <si>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</si>
  <si>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</si>
  <si>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</si>
  <si>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</si>
  <si>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</si>
  <si>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</si>
  <si>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</si>
  <si>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</si>
  <si>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</si>
  <si>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</si>
  <si>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</si>
  <si>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</si>
  <si>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</si>
  <si>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</si>
  <si>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</si>
  <si>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</si>
  <si>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</si>
  <si>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</si>
  <si>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</si>
  <si>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</si>
  <si>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</si>
  <si>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</si>
  <si>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</si>
  <si>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</si>
  <si>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</si>
  <si>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</si>
  <si>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</si>
  <si>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</si>
  <si>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</si>
  <si>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</si>
  <si>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</si>
  <si>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</si>
  <si>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</si>
  <si>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</si>
  <si>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</si>
  <si>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</si>
  <si>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</si>
  <si>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</si>
  <si>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</si>
  <si>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</si>
  <si>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</si>
  <si>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</si>
  <si>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</si>
  <si>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</si>
  <si>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</si>
  <si>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</si>
  <si>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</si>
  <si>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</si>
  <si>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</si>
  <si>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</si>
  <si>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</si>
  <si>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</si>
  <si>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</si>
  <si>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</si>
  <si>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</si>
  <si>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</si>
  <si>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</si>
  <si>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</si>
  <si>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</si>
  <si>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</si>
  <si>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</si>
  <si>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</si>
  <si>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</si>
  <si>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</si>
  <si>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</si>
  <si>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</si>
  <si>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</si>
  <si>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</si>
  <si>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</si>
  <si>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</si>
  <si>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</si>
  <si>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</si>
  <si>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</si>
  <si>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</si>
  <si>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</si>
  <si>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</si>
  <si>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</si>
  <si>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</si>
  <si>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</si>
  <si>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</si>
  <si>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</si>
  <si>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</si>
  <si>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</si>
  <si>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</si>
  <si>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</si>
  <si>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</si>
  <si>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</si>
  <si>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</si>
  <si>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</si>
  <si>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</si>
  <si>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</si>
  <si>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</si>
  <si>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</si>
  <si>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</si>
  <si>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</si>
  <si>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</si>
  <si>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</si>
  <si>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</si>
  <si>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</si>
  <si>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</si>
  <si>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</si>
  <si>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</si>
  <si>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</si>
  <si>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</si>
  <si>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</si>
  <si>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</si>
  <si>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</si>
  <si>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</si>
  <si>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</si>
  <si>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</si>
  <si>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</si>
  <si>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</si>
  <si>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</si>
  <si>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</si>
  <si>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</si>
  <si>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</si>
  <si>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</si>
  <si>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</si>
  <si>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</si>
  <si>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</si>
  <si>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</si>
  <si>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</si>
  <si>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</si>
  <si>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</si>
  <si>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</si>
  <si>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</si>
  <si>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</si>
  <si>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</si>
  <si>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</si>
  <si>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</si>
  <si>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</si>
  <si>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</si>
  <si>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</si>
  <si>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</si>
  <si>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</si>
  <si>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</si>
  <si>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</si>
  <si>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</si>
  <si>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</si>
  <si>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</si>
  <si>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</si>
  <si>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</si>
  <si>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</si>
  <si>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</si>
  <si>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</si>
  <si>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</si>
  <si>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</si>
  <si>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</si>
  <si>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</si>
  <si>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</si>
  <si>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</si>
  <si>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</si>
  <si>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</si>
  <si>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</si>
  <si>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</si>
  <si>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</si>
  <si>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</si>
  <si>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</si>
  <si>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</si>
  <si>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</si>
  <si>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</si>
  <si>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</si>
  <si>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</si>
  <si>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</si>
  <si>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</si>
  <si>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</si>
  <si>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</si>
  <si>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</si>
  <si>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</si>
  <si>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</si>
  <si>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</si>
  <si>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</si>
  <si>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</si>
  <si>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</si>
  <si>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</si>
  <si>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</si>
  <si>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</si>
  <si>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</si>
  <si>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</si>
  <si>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</si>
  <si>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</si>
  <si>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</si>
  <si>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</si>
  <si>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</si>
  <si>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</si>
  <si>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</si>
  <si>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</si>
  <si>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</si>
  <si>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</si>
  <si>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</si>
  <si>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</si>
  <si>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</si>
  <si>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</si>
  <si>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</si>
  <si>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</si>
  <si>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</si>
  <si>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</si>
  <si>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</si>
  <si>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</si>
  <si>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</si>
  <si>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</si>
  <si>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</si>
  <si>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</si>
  <si>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</si>
  <si>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</si>
  <si>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</si>
  <si>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</si>
  <si>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</si>
  <si>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</si>
  <si>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</si>
  <si>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</si>
  <si>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</si>
  <si>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</si>
  <si>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</si>
  <si>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</si>
  <si>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</si>
  <si>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</si>
  <si>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</si>
  <si>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</si>
  <si>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</si>
  <si>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</si>
  <si>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</si>
  <si>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</si>
  <si>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</si>
  <si>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</si>
  <si>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</si>
  <si>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</si>
  <si>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</si>
  <si>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</si>
  <si>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</si>
  <si>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</si>
  <si>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</si>
  <si>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</si>
  <si>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</si>
  <si>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</si>
  <si>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</si>
  <si>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</si>
  <si>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</si>
  <si>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</si>
  <si>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</si>
  <si>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</si>
  <si>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</si>
  <si>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</si>
  <si>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</si>
  <si>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</si>
  <si>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</si>
  <si>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</si>
  <si>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</si>
  <si>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</si>
  <si>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</si>
  <si>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</si>
  <si>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</si>
  <si>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</si>
  <si>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</si>
  <si>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</si>
  <si>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</si>
  <si>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</si>
  <si>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</si>
  <si>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</si>
  <si>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</si>
  <si>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</si>
  <si>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</si>
  <si>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</si>
  <si>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</si>
  <si>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</si>
  <si>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</si>
  <si>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</si>
  <si>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</si>
  <si>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</si>
  <si>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</si>
  <si>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</si>
  <si>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</si>
  <si>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</si>
  <si>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</si>
  <si>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</si>
  <si>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</si>
  <si>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</si>
  <si>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</si>
  <si>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</si>
  <si>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</si>
  <si>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</si>
  <si>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</si>
  <si>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</si>
  <si>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</si>
  <si>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</si>
  <si>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</si>
  <si>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</si>
  <si>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</si>
  <si>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</si>
  <si>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</si>
  <si>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</si>
  <si>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</si>
  <si>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</si>
  <si>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</si>
  <si>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</si>
  <si>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</si>
  <si>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</si>
  <si>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</si>
  <si>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</si>
  <si>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</si>
  <si>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</si>
  <si>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</si>
  <si>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</si>
  <si>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</si>
  <si>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</si>
  <si>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</si>
  <si>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</si>
  <si>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</si>
  <si>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</si>
  <si>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</si>
  <si>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</si>
  <si>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</si>
  <si>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</si>
  <si>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</si>
  <si>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</si>
  <si>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</si>
  <si>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</si>
  <si>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</si>
  <si>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</si>
  <si>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</si>
  <si>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</si>
  <si>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</si>
  <si>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</si>
  <si>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</si>
  <si>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</si>
  <si>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</si>
  <si>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</si>
  <si>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</si>
  <si>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</si>
  <si>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</si>
  <si>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</si>
  <si>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</si>
  <si>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</si>
  <si>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</si>
  <si>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</si>
  <si>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</si>
  <si>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</si>
  <si>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</si>
  <si>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</si>
  <si>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</si>
  <si>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</si>
  <si>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</si>
  <si>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</si>
  <si>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</si>
  <si>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</si>
  <si>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</si>
  <si>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</si>
  <si>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</si>
  <si>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</si>
  <si>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</si>
  <si>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</si>
  <si>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</si>
  <si>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</si>
  <si>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</si>
  <si>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</si>
  <si>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</si>
  <si>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</si>
  <si>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</si>
  <si>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</si>
  <si>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</si>
  <si>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</si>
  <si>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</si>
  <si>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</si>
  <si>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</si>
  <si>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</si>
  <si>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</si>
  <si>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</si>
  <si>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</si>
  <si>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</si>
  <si>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</si>
  <si>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</si>
  <si>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</si>
  <si>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</si>
  <si>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</si>
  <si>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</si>
  <si>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</si>
  <si>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</si>
  <si>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</si>
  <si>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</si>
  <si>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</si>
  <si>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</si>
  <si>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</si>
  <si>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</si>
  <si>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</si>
  <si>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</si>
  <si>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</si>
  <si>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</si>
  <si>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</si>
  <si>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</si>
  <si>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</si>
  <si>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</si>
  <si>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</si>
  <si>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</si>
  <si>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</si>
  <si>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</si>
  <si>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</si>
  <si>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</si>
  <si>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</si>
  <si>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</si>
  <si>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</si>
  <si>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</si>
  <si>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</si>
  <si>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</si>
  <si>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</si>
  <si>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</si>
  <si>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</si>
  <si>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</si>
  <si>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</si>
  <si>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</si>
  <si>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</si>
  <si>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</si>
  <si>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</si>
  <si>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</si>
  <si>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</si>
  <si>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</si>
  <si>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</si>
  <si>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</si>
  <si>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</si>
  <si>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</si>
  <si>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</si>
  <si>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</si>
  <si>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</si>
  <si>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</si>
  <si>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</si>
  <si>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</si>
  <si>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</si>
  <si>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</si>
  <si>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</si>
  <si>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</si>
  <si>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</si>
  <si>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</si>
  <si>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</si>
  <si>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</si>
  <si>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</si>
  <si>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</si>
  <si>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</si>
  <si>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</si>
  <si>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</si>
  <si>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</si>
  <si>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</si>
  <si>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</si>
  <si>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</si>
  <si>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</si>
  <si>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</si>
  <si>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</si>
  <si>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</si>
  <si>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</si>
  <si>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</si>
  <si>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</si>
  <si>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</si>
  <si>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</si>
  <si>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</si>
  <si>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</si>
  <si>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</si>
  <si>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</si>
  <si>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</si>
  <si>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</si>
  <si>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</si>
  <si>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</si>
  <si>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</si>
  <si>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</si>
  <si>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</si>
  <si>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</si>
  <si>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</si>
  <si>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</si>
  <si>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</si>
  <si>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</si>
  <si>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</si>
  <si>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</si>
  <si>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</si>
  <si>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</si>
  <si>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</si>
  <si>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</si>
  <si>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</si>
  <si>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</si>
  <si>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</si>
  <si>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</si>
  <si>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</si>
  <si>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</si>
  <si>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</si>
  <si>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</si>
  <si>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</si>
  <si>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</si>
  <si>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</si>
  <si>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</si>
  <si>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</si>
  <si>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</si>
  <si>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</si>
  <si>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</si>
  <si>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</si>
  <si>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</si>
  <si>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</si>
  <si>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</si>
  <si>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</si>
  <si>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</si>
  <si>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</si>
  <si>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</si>
  <si>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</si>
  <si>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</si>
  <si>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</si>
  <si>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</si>
  <si>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</si>
  <si>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</si>
  <si>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</si>
  <si>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</si>
  <si>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</si>
  <si>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</si>
  <si>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</si>
  <si>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</si>
  <si>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</si>
  <si>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</si>
  <si>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</si>
  <si>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</si>
  <si>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</si>
  <si>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</si>
  <si>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</si>
  <si>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</si>
  <si>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</si>
  <si>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</si>
  <si>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</si>
  <si>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</si>
  <si>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</si>
  <si>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</si>
  <si>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</si>
  <si>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</si>
  <si>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</si>
  <si>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</si>
  <si>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</si>
  <si>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</si>
  <si>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</si>
  <si>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</si>
  <si>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</si>
  <si>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</si>
  <si>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</si>
  <si>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</si>
  <si>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</si>
  <si>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</si>
  <si>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</si>
  <si>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</si>
  <si>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</si>
  <si>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</si>
  <si>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</si>
  <si>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</si>
  <si>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</si>
  <si>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</si>
  <si>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</si>
  <si>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</si>
  <si>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</si>
  <si>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</si>
  <si>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</si>
  <si>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</si>
  <si>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</si>
  <si>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</si>
  <si>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</si>
  <si>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</si>
  <si>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</si>
  <si>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</si>
  <si>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</si>
  <si>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</si>
  <si>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</si>
  <si>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</si>
  <si>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</si>
  <si>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</si>
  <si>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</si>
  <si>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</si>
  <si>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</si>
  <si>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</si>
  <si>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</si>
  <si>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</si>
  <si>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</si>
  <si>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</si>
  <si>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</si>
  <si>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</si>
  <si>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</si>
  <si>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</si>
  <si>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</si>
  <si>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</si>
  <si>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</si>
  <si>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</si>
  <si>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</si>
  <si>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</si>
  <si>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</si>
  <si>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</si>
  <si>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</si>
  <si>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</si>
  <si>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</si>
  <si>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</si>
  <si>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</si>
  <si>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</si>
  <si>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</si>
  <si>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</si>
  <si>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</si>
  <si>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</si>
  <si>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</si>
  <si>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</si>
  <si>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</si>
  <si>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</si>
  <si>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</si>
  <si>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</si>
  <si>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</si>
  <si>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</si>
  <si>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</si>
  <si>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</si>
  <si>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</si>
  <si>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</si>
  <si>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</si>
  <si>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</si>
  <si>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</si>
  <si>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</si>
  <si>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</si>
  <si>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</si>
  <si>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</si>
  <si>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</si>
  <si>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</si>
  <si>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</si>
  <si>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</si>
  <si>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</si>
  <si>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</si>
  <si>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</si>
  <si>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</si>
  <si>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</si>
  <si>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</si>
  <si>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</si>
  <si>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</si>
  <si>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</si>
  <si>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</si>
  <si>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</si>
  <si>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</si>
  <si>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</si>
  <si>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</si>
  <si>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</si>
  <si>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</si>
  <si>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</si>
  <si>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</si>
  <si>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</si>
  <si>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</si>
  <si>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</si>
  <si>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</si>
  <si>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</si>
  <si>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</si>
  <si>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</si>
  <si>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</si>
  <si>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</si>
  <si>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</si>
  <si>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</si>
  <si>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</si>
  <si>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</si>
  <si>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</si>
  <si>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</si>
  <si>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</si>
  <si>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</si>
  <si>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</si>
  <si>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</si>
  <si>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</si>
  <si>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</si>
  <si>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</si>
  <si>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</si>
  <si>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</si>
  <si>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</si>
  <si>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</si>
  <si>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</si>
  <si>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</si>
  <si>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</si>
  <si>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</si>
  <si>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</si>
  <si>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</si>
  <si>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</si>
  <si>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</si>
  <si>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</si>
  <si>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</si>
  <si>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</si>
  <si>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</si>
  <si>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</si>
  <si>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</si>
  <si>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</si>
  <si>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</si>
  <si>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</si>
  <si>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</si>
  <si>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</si>
  <si>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</si>
  <si>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</si>
  <si>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</si>
  <si>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</si>
  <si>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</si>
  <si>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</si>
  <si>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</si>
  <si>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</si>
  <si>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</si>
  <si>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</si>
  <si>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</si>
  <si>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</si>
  <si>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</si>
  <si>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</si>
  <si>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</si>
  <si>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</si>
  <si>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</si>
  <si>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</si>
  <si>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</si>
  <si>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</si>
  <si>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</si>
  <si>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</si>
  <si>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</si>
  <si>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</si>
  <si>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</si>
  <si>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</si>
  <si>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</si>
  <si>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</si>
  <si>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</si>
  <si>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</si>
  <si>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</si>
  <si>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</si>
  <si>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</si>
  <si>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</si>
  <si>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</si>
  <si>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</si>
  <si>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</si>
  <si>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</si>
  <si>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</si>
  <si>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</si>
  <si>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</si>
  <si>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</si>
  <si>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</si>
  <si>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</si>
  <si>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</si>
  <si>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</si>
  <si>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</si>
  <si>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</si>
  <si>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</si>
  <si>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</si>
  <si>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</si>
  <si>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</si>
  <si>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</si>
  <si>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</si>
  <si>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</si>
  <si>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</si>
  <si>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</si>
  <si>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</si>
  <si>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</si>
  <si>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</si>
  <si>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</si>
  <si>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</si>
  <si>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</si>
  <si>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</si>
  <si>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</si>
  <si>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</si>
  <si>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</si>
  <si>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</si>
  <si>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</si>
  <si>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</si>
  <si>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</si>
  <si>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</si>
  <si>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</si>
  <si>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</si>
  <si>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</si>
  <si>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</si>
  <si>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</si>
  <si>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</si>
  <si>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</si>
  <si>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</si>
  <si>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</si>
  <si>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</si>
  <si>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</si>
  <si>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</si>
  <si>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</si>
  <si>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</si>
  <si>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</si>
  <si>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</si>
  <si>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</si>
  <si>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</si>
  <si>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</si>
  <si>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</si>
  <si>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</si>
  <si>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</si>
  <si>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</si>
  <si>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</si>
  <si>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</si>
  <si>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</si>
  <si>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</si>
  <si>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</si>
  <si>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</si>
  <si>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</si>
  <si>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</si>
  <si>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</si>
  <si>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</si>
  <si>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</si>
  <si>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</si>
  <si>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</si>
  <si>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</si>
  <si>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</si>
  <si>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</si>
  <si>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</si>
  <si>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</si>
  <si>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</si>
  <si>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</si>
  <si>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</si>
  <si>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</si>
  <si>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</si>
  <si>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</si>
  <si>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</si>
  <si>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</si>
  <si>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</si>
  <si>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</si>
  <si>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</si>
  <si>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</si>
  <si>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</si>
  <si>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</si>
  <si>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</si>
  <si>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</si>
  <si>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</si>
  <si>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</si>
  <si>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</si>
  <si>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</si>
  <si>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</si>
  <si>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</si>
  <si>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</si>
  <si>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</si>
  <si>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</si>
  <si>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</si>
  <si>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</si>
  <si>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</si>
  <si>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</si>
  <si>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</si>
  <si>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</si>
  <si>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</si>
  <si>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</si>
  <si>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</si>
  <si>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</si>
  <si>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</si>
  <si>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</si>
  <si>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</si>
  <si>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</si>
  <si>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</si>
  <si>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</si>
  <si>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</si>
  <si>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</si>
  <si>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</si>
  <si>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</si>
  <si>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</si>
  <si>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</si>
  <si>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</si>
  <si>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</si>
  <si>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</si>
  <si>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</si>
  <si>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</si>
  <si>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</si>
  <si>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</si>
  <si>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</si>
  <si>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</si>
  <si>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</si>
  <si>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</si>
  <si>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</si>
  <si>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</si>
  <si>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</si>
  <si>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</si>
  <si>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</si>
  <si>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</si>
  <si>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</si>
  <si>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</si>
  <si>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</si>
  <si>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</si>
  <si>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</si>
  <si>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</si>
  <si>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</si>
  <si>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</si>
  <si>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</si>
  <si>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</si>
  <si>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</si>
  <si>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</si>
  <si>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</si>
  <si>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</si>
  <si>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</si>
  <si>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</si>
  <si>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</si>
  <si>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</si>
  <si>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</si>
  <si>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</si>
  <si>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</si>
  <si>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</si>
  <si>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</si>
  <si>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</si>
  <si>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</si>
  <si>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</si>
  <si>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</si>
  <si>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</si>
  <si>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</si>
  <si>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</si>
  <si>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</si>
  <si>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</si>
  <si>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</si>
  <si>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</si>
  <si>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</si>
  <si>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</si>
  <si>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</si>
  <si>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</si>
  <si>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</si>
  <si>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</si>
  <si>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</si>
  <si>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</si>
  <si>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</si>
  <si>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</si>
  <si>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</si>
  <si>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</si>
  <si>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</si>
  <si>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</si>
  <si>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</si>
  <si>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</si>
  <si>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</si>
  <si>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</si>
  <si>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</si>
  <si>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</si>
  <si>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</si>
  <si>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</si>
  <si>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</si>
  <si>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</si>
  <si>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</si>
  <si>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</si>
  <si>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</si>
  <si>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</si>
  <si>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</si>
  <si>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</si>
  <si>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</si>
  <si>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</si>
  <si>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</si>
  <si>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</si>
  <si>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</si>
  <si>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</si>
  <si>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</si>
  <si>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</si>
  <si>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</si>
  <si>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</si>
  <si>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</si>
  <si>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</si>
  <si>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</si>
  <si>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</si>
  <si>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</si>
  <si>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</si>
  <si>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</si>
  <si>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</si>
  <si>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</si>
  <si>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</si>
  <si>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</si>
  <si>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</si>
  <si>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</si>
  <si>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</si>
  <si>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</si>
  <si>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</si>
  <si>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</si>
  <si>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</si>
  <si>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</si>
  <si>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</si>
  <si>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</si>
  <si>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</si>
  <si>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</si>
  <si>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</si>
  <si>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</si>
  <si>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</si>
  <si>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</si>
  <si>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</si>
  <si>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</si>
  <si>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</si>
  <si>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</si>
  <si>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</si>
  <si>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</si>
  <si>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</si>
  <si>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</si>
  <si>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</si>
  <si>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</si>
  <si>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</si>
  <si>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</si>
  <si>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</si>
  <si>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</si>
  <si>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</si>
  <si>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</si>
  <si>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</si>
  <si>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</si>
  <si>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</si>
  <si>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</si>
  <si>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</si>
  <si>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</si>
  <si>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</si>
  <si>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</si>
  <si>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</si>
  <si>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</si>
  <si>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</si>
  <si>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</si>
  <si>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</si>
  <si>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</si>
  <si>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</si>
  <si>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</si>
  <si>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</si>
  <si>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</si>
  <si>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</si>
  <si>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</si>
  <si>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</si>
  <si>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</si>
  <si>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</si>
  <si>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</si>
  <si>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</si>
  <si>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</si>
  <si>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</si>
  <si>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</si>
  <si>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</si>
  <si>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</si>
  <si>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</si>
  <si>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</si>
  <si>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</si>
  <si>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</si>
  <si>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</si>
  <si>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</si>
  <si>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</si>
  <si>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</si>
  <si>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</si>
  <si>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</si>
  <si>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</si>
  <si>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</si>
  <si>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</si>
  <si>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</si>
  <si>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</si>
  <si>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</si>
  <si>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</si>
  <si>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</si>
  <si>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</si>
  <si>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</si>
  <si>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</si>
  <si>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</si>
  <si>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</si>
  <si>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</si>
  <si>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</si>
  <si>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</si>
  <si>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</si>
  <si>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</si>
  <si>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</si>
  <si>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</si>
  <si>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</si>
  <si>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</si>
  <si>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</si>
  <si>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</si>
  <si>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</si>
  <si>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</si>
  <si>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</si>
  <si>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</si>
  <si>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</si>
  <si>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</si>
  <si>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</si>
  <si>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</si>
  <si>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</si>
  <si>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</si>
  <si>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</si>
  <si>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</si>
  <si>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</si>
  <si>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</si>
  <si>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</si>
  <si>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</si>
  <si>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</si>
  <si>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</si>
  <si>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</si>
  <si>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</si>
  <si>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</si>
  <si>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</si>
  <si>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</si>
  <si>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</si>
  <si>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</si>
  <si>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</si>
  <si>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</si>
  <si>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</si>
  <si>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</si>
  <si>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</si>
  <si>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</si>
  <si>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</si>
  <si>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</si>
  <si>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</si>
  <si>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</si>
  <si>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</si>
  <si>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</si>
  <si>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</si>
  <si>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</si>
  <si>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</si>
  <si>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</si>
  <si>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</si>
  <si>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</si>
  <si>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</si>
  <si>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</si>
  <si>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</si>
  <si>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</si>
  <si>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</si>
  <si>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</si>
  <si>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</si>
  <si>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</si>
  <si>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</si>
  <si>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</si>
  <si>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</si>
  <si>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</si>
  <si>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</si>
  <si>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</si>
  <si>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</si>
  <si>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</si>
  <si>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</si>
  <si>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</si>
  <si>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</si>
  <si>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</si>
  <si>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</si>
  <si>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</si>
  <si>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</si>
  <si>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</si>
  <si>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</si>
  <si>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</si>
  <si>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</si>
  <si>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</si>
  <si>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</si>
  <si>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</si>
  <si>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</si>
  <si>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</si>
  <si>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</si>
  <si>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</si>
  <si>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</si>
  <si>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</si>
  <si>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</si>
  <si>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</si>
  <si>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</si>
  <si>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</si>
  <si>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</si>
  <si>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</si>
  <si>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</si>
  <si>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</si>
  <si>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</si>
  <si>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</si>
  <si>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</si>
  <si>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</si>
  <si>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</si>
  <si>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</si>
  <si>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</si>
  <si>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</si>
  <si>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</si>
  <si>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</si>
  <si>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</si>
  <si>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</si>
  <si>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</si>
  <si>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</si>
  <si>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</si>
  <si>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</si>
  <si>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</si>
  <si>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</si>
  <si>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</si>
  <si>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</si>
  <si>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</si>
  <si>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</si>
  <si>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</si>
  <si>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</si>
  <si>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</si>
  <si>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</si>
  <si>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</si>
  <si>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</si>
  <si>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</si>
  <si>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</si>
  <si>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</si>
  <si>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</si>
  <si>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</si>
  <si>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</si>
  <si>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</si>
  <si>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</si>
  <si>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</si>
  <si>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</si>
  <si>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</si>
  <si>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</si>
  <si>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</si>
  <si>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</si>
  <si>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</si>
  <si>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</si>
  <si>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</si>
  <si>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</si>
  <si>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</si>
  <si>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</si>
  <si>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</si>
  <si>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</si>
  <si>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</si>
  <si>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</si>
  <si>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</si>
  <si>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</si>
  <si>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</si>
  <si>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</si>
  <si>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</si>
  <si>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</si>
  <si>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</si>
  <si>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</si>
  <si>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</si>
  <si>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</si>
  <si>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</si>
  <si>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</si>
  <si>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</si>
  <si>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</si>
  <si>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</si>
  <si>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</si>
  <si>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</si>
  <si>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</si>
  <si>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</si>
  <si>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</si>
  <si>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</si>
  <si>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</si>
  <si>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</si>
  <si>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</si>
  <si>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</si>
  <si>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</si>
  <si>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</si>
  <si>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</si>
  <si>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</si>
  <si>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</si>
  <si>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</si>
  <si>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</si>
  <si>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</si>
  <si>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</si>
  <si>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</si>
  <si>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</si>
  <si>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</si>
  <si>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</si>
  <si>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</si>
  <si>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</si>
  <si>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</si>
  <si>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</si>
  <si>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</si>
  <si>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</si>
  <si>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</si>
  <si>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</si>
  <si>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</si>
  <si>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</si>
  <si>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</si>
  <si>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</si>
  <si>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</si>
  <si>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</si>
  <si>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</si>
  <si>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</si>
  <si>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</si>
  <si>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</si>
  <si>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</si>
  <si>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</si>
  <si>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</si>
  <si>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</si>
  <si>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</si>
  <si>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</si>
  <si>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</si>
  <si>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</si>
  <si>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</si>
  <si>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</si>
  <si>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</si>
  <si>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</si>
  <si>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</si>
  <si>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</si>
  <si>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</si>
  <si>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</si>
  <si>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</si>
  <si>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</si>
  <si>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</si>
  <si>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</si>
  <si>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</si>
  <si>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</si>
  <si>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</si>
  <si>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</si>
  <si>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</si>
  <si>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</si>
  <si>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</si>
  <si>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</si>
  <si>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</si>
  <si>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</si>
  <si>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</si>
  <si>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</si>
  <si>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</si>
  <si>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</si>
  <si>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</si>
  <si>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</si>
  <si>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</si>
  <si>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</si>
  <si>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</si>
  <si>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</si>
  <si>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</si>
  <si>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</si>
  <si>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</si>
  <si>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</si>
  <si>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</si>
  <si>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</si>
  <si>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</si>
  <si>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</si>
  <si>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</si>
  <si>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</si>
  <si>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</si>
  <si>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</si>
  <si>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</si>
  <si>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</si>
  <si>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</si>
  <si>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</si>
  <si>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</si>
  <si>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</si>
  <si>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</si>
  <si>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</si>
  <si>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</si>
  <si>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</si>
  <si>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</si>
  <si>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</si>
  <si>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</si>
  <si>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</si>
  <si>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</si>
  <si>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</si>
  <si>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</si>
  <si>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</si>
  <si>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</si>
  <si>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</si>
  <si>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</si>
  <si>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</si>
  <si>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</si>
  <si>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</si>
  <si>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</si>
  <si>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</si>
  <si>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</si>
  <si>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</si>
  <si>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</si>
  <si>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</si>
  <si>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</si>
  <si>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</si>
  <si>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</si>
  <si>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</si>
  <si>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</si>
  <si>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</si>
  <si>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</si>
  <si>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</si>
  <si>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</si>
  <si>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</si>
  <si>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</si>
  <si>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</si>
  <si>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</si>
  <si>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</si>
  <si>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</si>
  <si>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</si>
  <si>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</si>
  <si>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</si>
  <si>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</si>
  <si>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</si>
  <si>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</si>
  <si>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</si>
  <si>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</si>
  <si>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</si>
  <si>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</si>
  <si>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</si>
  <si>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</si>
  <si>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</si>
  <si>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</si>
  <si>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</si>
  <si>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</si>
  <si>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</si>
  <si>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</si>
  <si>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</si>
  <si>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</si>
  <si>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</si>
  <si>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</si>
  <si>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</si>
  <si>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</si>
  <si>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</si>
  <si>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</si>
  <si>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</si>
  <si>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</si>
  <si>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</si>
  <si>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</si>
  <si>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</si>
  <si>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</si>
  <si>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</si>
  <si>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</si>
  <si>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</si>
  <si>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</si>
  <si>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</si>
  <si>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</si>
  <si>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</si>
  <si>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</si>
  <si>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</si>
  <si>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</si>
  <si>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</si>
  <si>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</si>
  <si>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</si>
  <si>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</si>
  <si>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</si>
  <si>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</si>
  <si>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</si>
  <si>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</si>
  <si>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</si>
  <si>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</si>
  <si>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</si>
  <si>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</si>
  <si>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</si>
  <si>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</si>
  <si>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</si>
  <si>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</si>
  <si>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</si>
  <si>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</si>
  <si>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</si>
  <si>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</si>
  <si>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</si>
  <si>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</si>
  <si>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</si>
  <si>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</si>
  <si>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</si>
  <si>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</si>
  <si>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</si>
  <si>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</si>
  <si>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</si>
  <si>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</si>
  <si>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</si>
  <si>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</si>
  <si>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</si>
  <si>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</si>
  <si>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</si>
  <si>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</si>
  <si>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</si>
  <si>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</si>
  <si>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</si>
  <si>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</si>
  <si>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</si>
  <si>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</si>
  <si>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</si>
  <si>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</si>
  <si>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</si>
  <si>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</si>
  <si>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</si>
  <si>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</si>
  <si>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</si>
  <si>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</si>
  <si>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</si>
  <si>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</si>
  <si>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</si>
  <si>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</si>
  <si>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</si>
  <si>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</si>
  <si>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</si>
  <si>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</si>
  <si>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</si>
  <si>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</si>
  <si>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</si>
  <si>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</si>
  <si>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</si>
  <si>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</si>
  <si>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</si>
  <si>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</si>
  <si>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</si>
  <si>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</si>
  <si>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</si>
  <si>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</si>
  <si>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</si>
  <si>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</si>
  <si>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</si>
  <si>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</si>
  <si>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</si>
  <si>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</si>
  <si>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</si>
  <si>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</si>
  <si>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</si>
  <si>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</si>
  <si>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</si>
  <si>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</si>
  <si>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</si>
  <si>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</si>
  <si>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</si>
  <si>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</si>
  <si>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</si>
  <si>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</si>
  <si>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</si>
  <si>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</si>
  <si>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</si>
  <si>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</si>
  <si>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</si>
  <si>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</si>
  <si>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</si>
  <si>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</si>
  <si>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</si>
  <si>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</si>
  <si>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</si>
  <si>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</si>
  <si>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</si>
  <si>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</si>
  <si>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</si>
  <si>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</si>
  <si>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</si>
  <si>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</si>
  <si>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</si>
  <si>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</si>
  <si>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</si>
  <si>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</si>
  <si>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</si>
  <si>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</si>
  <si>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</si>
  <si>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</si>
  <si>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</si>
  <si>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</si>
  <si>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</si>
  <si>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</si>
  <si>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</si>
  <si>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</si>
  <si>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</si>
  <si>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</si>
  <si>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</si>
  <si>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</si>
  <si>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</si>
  <si>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</si>
  <si>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</si>
  <si>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</si>
  <si>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</si>
  <si>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</si>
  <si>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</si>
  <si>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</si>
  <si>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</si>
  <si>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</si>
  <si>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</si>
  <si>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</si>
  <si>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</si>
  <si>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</si>
  <si>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</si>
  <si>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</si>
  <si>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</si>
  <si>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</si>
  <si>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</si>
  <si>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</si>
  <si>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</si>
  <si>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</si>
  <si>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</si>
  <si>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</si>
  <si>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</si>
  <si>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</si>
  <si>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</si>
  <si>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</si>
  <si>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</si>
  <si>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</si>
  <si>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</si>
  <si>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</si>
  <si>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</si>
  <si>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</si>
  <si>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</si>
  <si>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</si>
  <si>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</si>
  <si>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</si>
  <si>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</si>
  <si>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</si>
  <si>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</si>
  <si>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</si>
  <si>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</si>
  <si>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</si>
  <si>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</si>
  <si>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</si>
  <si>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</si>
  <si>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</si>
  <si>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</si>
  <si>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</si>
  <si>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</si>
  <si>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</si>
  <si>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</si>
  <si>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</si>
  <si>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</si>
  <si>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</si>
  <si>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</si>
  <si>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</si>
  <si>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</si>
  <si>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</si>
  <si>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</si>
  <si>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</si>
  <si>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</si>
  <si>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</si>
  <si>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</si>
  <si>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</si>
  <si>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</si>
  <si>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</si>
  <si>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</si>
  <si>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</si>
  <si>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</si>
  <si>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</si>
  <si>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</si>
  <si>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</si>
  <si>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</si>
  <si>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</si>
  <si>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</si>
  <si>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</si>
  <si>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</si>
  <si>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</si>
  <si>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</si>
  <si>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</si>
  <si>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</si>
  <si>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</si>
  <si>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</si>
  <si>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</si>
  <si>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</si>
  <si>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</si>
  <si>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</si>
  <si>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</si>
  <si>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</si>
  <si>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</si>
  <si>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</si>
  <si>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</si>
  <si>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</si>
  <si>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</si>
  <si>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</si>
  <si>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</si>
  <si>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</si>
  <si>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</si>
  <si>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</si>
  <si>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</si>
  <si>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</si>
  <si>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</si>
  <si>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</si>
  <si>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</si>
  <si>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</si>
  <si>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</si>
  <si>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</si>
  <si>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</si>
  <si>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</si>
  <si>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</si>
  <si>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</si>
  <si>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</si>
  <si>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</si>
  <si>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</si>
  <si>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</si>
  <si>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</si>
  <si>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</si>
  <si>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</si>
  <si>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</si>
  <si>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</si>
  <si>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</si>
  <si>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</si>
  <si>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</si>
  <si>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</si>
  <si>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</si>
  <si>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</si>
  <si>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</si>
  <si>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</si>
  <si>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</si>
  <si>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</si>
  <si>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</si>
  <si>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</si>
  <si>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</si>
  <si>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</si>
  <si>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</si>
  <si>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</si>
  <si>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</si>
  <si>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</si>
  <si>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</si>
  <si>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</si>
  <si>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</si>
  <si>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</si>
  <si>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</si>
  <si>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</si>
  <si>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</si>
  <si>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</si>
  <si>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</si>
  <si>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</si>
  <si>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</si>
  <si>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</si>
  <si>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</si>
  <si>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</si>
  <si>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</si>
  <si>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</si>
  <si>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</si>
  <si>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</si>
  <si>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</si>
  <si>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</si>
  <si>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</si>
  <si>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</si>
  <si>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</si>
  <si>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</si>
  <si>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</si>
  <si>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</si>
  <si>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</si>
  <si>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</si>
  <si>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</si>
  <si>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</si>
  <si>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</si>
  <si>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</si>
  <si>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</si>
  <si>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</si>
  <si>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</si>
  <si>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</si>
  <si>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</si>
  <si>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</si>
  <si>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</si>
  <si>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</si>
  <si>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</si>
  <si>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</si>
  <si>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</si>
  <si>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</si>
  <si>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</si>
  <si>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</si>
  <si>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</si>
  <si>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</si>
  <si>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</si>
  <si>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</si>
  <si>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</si>
  <si>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</si>
  <si>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</si>
  <si>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</si>
  <si>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</si>
  <si>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</si>
  <si>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</si>
  <si>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</si>
  <si>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</si>
  <si>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</si>
  <si>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</si>
  <si>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</si>
  <si>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</si>
  <si>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</si>
  <si>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</si>
  <si>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</si>
  <si>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</si>
  <si>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</si>
  <si>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</si>
  <si>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</si>
  <si>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</si>
  <si>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</si>
  <si>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</si>
  <si>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</si>
  <si>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</si>
  <si>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</si>
  <si>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</si>
  <si>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</si>
  <si>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</si>
  <si>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</si>
  <si>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</si>
  <si>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</si>
  <si>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</si>
  <si>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</si>
  <si>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</si>
  <si>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</si>
  <si>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</si>
  <si>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</si>
  <si>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</si>
  <si>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</si>
  <si>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</si>
  <si>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</si>
  <si>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</si>
  <si>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</si>
  <si>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</si>
  <si>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</si>
  <si>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</si>
  <si>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</si>
  <si>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</si>
  <si>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</si>
  <si>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</si>
  <si>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</si>
  <si>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</si>
  <si>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</si>
  <si>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</si>
  <si>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</si>
  <si>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</si>
  <si>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</si>
  <si>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</si>
  <si>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</si>
  <si>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</si>
  <si>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</si>
  <si>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</si>
  <si>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</si>
  <si>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</si>
  <si>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</si>
  <si>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</si>
  <si>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</si>
  <si>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</si>
  <si>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</si>
  <si>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</si>
  <si>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</si>
  <si>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</si>
  <si>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</si>
  <si>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</si>
  <si>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</si>
  <si>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</si>
  <si>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</si>
  <si>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</si>
  <si>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</si>
  <si>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</si>
  <si>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</si>
  <si>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</si>
  <si>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</si>
  <si>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</si>
  <si>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</si>
  <si>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</si>
  <si>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</si>
  <si>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</si>
  <si>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</si>
  <si>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</si>
  <si>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</si>
  <si>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</si>
  <si>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</si>
  <si>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</si>
  <si>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</si>
  <si>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</si>
  <si>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</si>
  <si>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</si>
  <si>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</si>
  <si>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</si>
  <si>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</si>
  <si>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</si>
  <si>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</si>
  <si>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</si>
  <si>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</si>
  <si>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</si>
  <si>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</si>
  <si>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</si>
  <si>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</si>
  <si>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</si>
  <si>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</si>
  <si>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</si>
  <si>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</si>
  <si>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</si>
  <si>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</si>
  <si>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</si>
  <si>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</si>
  <si>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</si>
  <si>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</si>
  <si>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</si>
  <si>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</si>
  <si>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</si>
  <si>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</si>
  <si>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</si>
  <si>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</si>
  <si>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</si>
  <si>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</si>
  <si>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</si>
  <si>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</si>
  <si>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</si>
  <si>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</si>
  <si>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</si>
  <si>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</si>
  <si>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</si>
  <si>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</si>
  <si>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</si>
  <si>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</si>
  <si>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</si>
  <si>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</si>
  <si>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</si>
  <si>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</si>
  <si>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</si>
  <si>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</si>
  <si>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</si>
  <si>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</si>
  <si>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</si>
  <si>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</si>
  <si>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</si>
  <si>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</si>
  <si>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</si>
  <si>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</si>
  <si>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</si>
  <si>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</si>
  <si>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</si>
  <si>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</si>
  <si>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</si>
  <si>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</si>
  <si>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</si>
  <si>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</si>
  <si>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</si>
  <si>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</si>
  <si>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</si>
  <si>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</si>
  <si>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</si>
  <si>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</si>
  <si>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</si>
  <si>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</si>
  <si>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</si>
  <si>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</si>
  <si>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</si>
  <si>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</si>
  <si>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</si>
  <si>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</si>
  <si>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</si>
  <si>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</si>
  <si>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</si>
  <si>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</si>
  <si>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</si>
  <si>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</si>
  <si>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</si>
  <si>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</si>
  <si>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</si>
  <si>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</si>
  <si>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</si>
  <si>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</si>
  <si>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</si>
  <si>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</si>
  <si>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</si>
  <si>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</si>
  <si>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</si>
  <si>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</si>
  <si>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</si>
  <si>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</si>
  <si>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</si>
  <si>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</si>
  <si>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</si>
  <si>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</si>
  <si>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</si>
  <si>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</si>
  <si>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</si>
  <si>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</si>
  <si>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</si>
  <si>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</si>
  <si>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</si>
  <si>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</si>
  <si>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</si>
  <si>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</si>
  <si>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</si>
  <si>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</si>
  <si>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</si>
  <si>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</si>
  <si>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</si>
  <si>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</si>
  <si>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</si>
  <si>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</si>
  <si>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</si>
  <si>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</si>
  <si>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</si>
  <si>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</si>
  <si>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</si>
  <si>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</si>
  <si>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</si>
  <si>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</si>
  <si>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</si>
  <si>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</si>
  <si>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</si>
  <si>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</si>
  <si>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</si>
  <si>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</si>
  <si>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</si>
  <si>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</si>
  <si>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</si>
  <si>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</si>
  <si>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</si>
  <si>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</si>
  <si>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</si>
  <si>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</si>
  <si>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</si>
  <si>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</si>
  <si>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</si>
  <si>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</si>
  <si>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</si>
  <si>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</si>
  <si>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</si>
  <si>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</si>
  <si>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</si>
  <si>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</si>
  <si>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</si>
  <si>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</si>
  <si>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</si>
  <si>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</si>
  <si>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</si>
  <si>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</si>
  <si>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</si>
  <si>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</si>
  <si>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</si>
  <si>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</si>
  <si>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</si>
  <si>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</si>
  <si>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</si>
  <si>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</si>
  <si>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</si>
  <si>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</si>
  <si>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</si>
  <si>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</si>
  <si>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</si>
  <si>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</si>
  <si>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</si>
  <si>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</si>
  <si>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</si>
  <si>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</si>
  <si>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</si>
  <si>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</si>
  <si>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</si>
  <si>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</si>
  <si>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</si>
  <si>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</si>
  <si>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</si>
  <si>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</si>
  <si>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</si>
  <si>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</si>
  <si>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</si>
  <si>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</si>
  <si>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</si>
  <si>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</si>
  <si>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</si>
  <si>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</si>
  <si>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</si>
  <si>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</si>
  <si>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</si>
  <si>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</si>
  <si>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</si>
  <si>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</si>
  <si>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</si>
  <si>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</si>
  <si>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</si>
  <si>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</si>
  <si>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</si>
  <si>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</si>
  <si>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</si>
  <si>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</si>
  <si>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</si>
  <si>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</si>
  <si>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</si>
  <si>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</si>
  <si>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</si>
  <si>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</si>
  <si>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</si>
  <si>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</si>
  <si>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</si>
  <si>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</si>
  <si>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</si>
  <si>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</si>
  <si>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</si>
  <si>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</si>
  <si>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</si>
  <si>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</si>
  <si>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</si>
  <si>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</si>
  <si>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</si>
  <si>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</si>
  <si>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</si>
  <si>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</si>
  <si>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</si>
  <si>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</si>
  <si>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</si>
  <si>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</si>
  <si>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</si>
  <si>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</si>
  <si>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</si>
  <si>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</si>
  <si>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</si>
  <si>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</si>
  <si>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</si>
  <si>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</si>
  <si>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</si>
  <si>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</si>
  <si>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</si>
  <si>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</si>
  <si>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</si>
  <si>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</si>
  <si>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</si>
  <si>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</si>
  <si>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</si>
  <si>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</si>
  <si>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</si>
  <si>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</si>
  <si>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</si>
  <si>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</si>
  <si>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</si>
  <si>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</si>
  <si>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</si>
  <si>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</si>
  <si>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</si>
  <si>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</si>
  <si>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</si>
  <si>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</si>
  <si>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</si>
  <si>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</si>
  <si>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</si>
  <si>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</si>
  <si>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</si>
  <si>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</si>
  <si>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</si>
  <si>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</si>
  <si>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</si>
  <si>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</si>
  <si>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</si>
  <si>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</si>
  <si>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</si>
  <si>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</si>
  <si>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</si>
  <si>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</si>
  <si>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</si>
  <si>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</si>
  <si>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</si>
  <si>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</si>
  <si>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</si>
  <si>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</si>
  <si>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</si>
  <si>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</si>
  <si>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</si>
  <si>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</si>
  <si>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</si>
  <si>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</si>
  <si>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</si>
  <si>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</si>
  <si>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</si>
  <si>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</si>
  <si>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</si>
  <si>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</si>
  <si>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</si>
  <si>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</si>
  <si>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</si>
  <si>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</si>
  <si>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</si>
  <si>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</si>
  <si>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</si>
  <si>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</si>
  <si>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</si>
  <si>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</si>
  <si>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</si>
  <si>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</si>
  <si>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</si>
  <si>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</si>
  <si>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</si>
  <si>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</si>
  <si>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</si>
  <si>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</si>
  <si>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</si>
  <si>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</si>
  <si>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</si>
  <si>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</si>
  <si>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</si>
  <si>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</si>
  <si>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</si>
  <si>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</si>
  <si>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</si>
  <si>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</si>
  <si>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</si>
  <si>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</si>
  <si>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</si>
  <si>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</si>
  <si>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</si>
  <si>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</si>
  <si>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</si>
  <si>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</si>
  <si>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</si>
  <si>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</si>
  <si>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</si>
  <si>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</si>
  <si>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</si>
  <si>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</si>
  <si>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</si>
  <si>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</si>
  <si>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</si>
  <si>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</si>
  <si>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</si>
  <si>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</si>
  <si>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</si>
  <si>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</si>
  <si>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</si>
  <si>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</si>
  <si>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</si>
  <si>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</si>
  <si>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</si>
  <si>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</si>
  <si>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</si>
  <si>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</si>
  <si>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</si>
  <si>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</si>
  <si>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</si>
  <si>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</si>
  <si>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</si>
  <si>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</si>
  <si>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</si>
  <si>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</si>
  <si>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</si>
  <si>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</si>
  <si>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</si>
  <si>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</si>
  <si>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</si>
  <si>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</si>
  <si>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</si>
  <si>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</si>
  <si>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</si>
  <si>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</si>
  <si>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</si>
  <si>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</si>
  <si>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</si>
  <si>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</si>
  <si>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</si>
  <si>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</si>
  <si>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</si>
  <si>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</si>
  <si>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</si>
  <si>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</si>
  <si>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</si>
  <si>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</si>
  <si>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</si>
  <si>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</si>
  <si>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</si>
  <si>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</si>
  <si>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</si>
  <si>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</si>
  <si>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</si>
  <si>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</si>
  <si>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</si>
  <si>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</si>
  <si>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</si>
  <si>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</si>
  <si>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</si>
  <si>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</si>
  <si>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</si>
  <si>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</si>
  <si>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</si>
  <si>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</si>
  <si>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</si>
  <si>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</si>
  <si>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</si>
  <si>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</si>
  <si>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</si>
  <si>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</si>
  <si>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</si>
  <si>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</si>
  <si>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</si>
  <si>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</si>
  <si>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</si>
  <si>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</si>
  <si>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</si>
  <si>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</si>
  <si>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</si>
  <si>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</si>
  <si>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</si>
  <si>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</si>
  <si>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</si>
  <si>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</si>
  <si>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</si>
  <si>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</si>
  <si>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</si>
  <si>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</si>
  <si>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</si>
  <si>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</si>
  <si>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</si>
  <si>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</si>
  <si>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</si>
  <si>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</si>
  <si>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</si>
  <si>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</si>
  <si>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</si>
  <si>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</si>
  <si>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</si>
  <si>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</si>
  <si>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</si>
  <si>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</si>
  <si>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</si>
  <si>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</si>
  <si>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</si>
  <si>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</si>
  <si>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</si>
  <si>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</si>
  <si>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</si>
  <si>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</si>
  <si>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</si>
  <si>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</si>
  <si>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</si>
  <si>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</si>
  <si>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</si>
  <si>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</si>
  <si>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</si>
  <si>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</si>
  <si>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</si>
  <si>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</si>
  <si>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</si>
  <si>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</si>
  <si>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</si>
  <si>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</si>
  <si>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</si>
  <si>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</si>
  <si>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</si>
  <si>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</si>
  <si>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</si>
  <si>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</si>
  <si>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</si>
  <si>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</si>
  <si>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</si>
  <si>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</si>
  <si>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</si>
  <si>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</si>
  <si>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</si>
  <si>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</si>
  <si>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</si>
  <si>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</si>
  <si>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</si>
  <si>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</si>
  <si>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</si>
  <si>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</si>
  <si>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</si>
  <si>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</si>
  <si>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</si>
  <si>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</si>
  <si>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</si>
  <si>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</si>
  <si>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</si>
  <si>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</si>
  <si>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</si>
  <si>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</si>
  <si>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</si>
  <si>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</si>
  <si>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</si>
  <si>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</si>
  <si>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</si>
  <si>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</si>
  <si>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</si>
  <si>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</si>
  <si>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</si>
  <si>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</si>
  <si>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</si>
  <si>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</si>
  <si>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</si>
  <si>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</si>
  <si>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</si>
  <si>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</si>
  <si>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</si>
  <si>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</si>
  <si>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</si>
  <si>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</si>
  <si>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</si>
  <si>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</si>
  <si>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</si>
  <si>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</si>
  <si>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</si>
  <si>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</si>
  <si>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</si>
  <si>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</si>
  <si>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</si>
  <si>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</si>
  <si>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</si>
  <si>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</si>
  <si>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</si>
  <si>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</si>
  <si>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</si>
  <si>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</si>
  <si>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</si>
  <si>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</si>
  <si>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</si>
  <si>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</si>
  <si>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</si>
  <si>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</si>
  <si>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</si>
  <si>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</si>
  <si>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</si>
  <si>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</si>
  <si>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</si>
  <si>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</si>
  <si>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</si>
  <si>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</si>
  <si>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</si>
  <si>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</si>
  <si>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</si>
  <si>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</si>
  <si>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</si>
  <si>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</si>
  <si>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</si>
  <si>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</si>
  <si>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</si>
  <si>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</si>
  <si>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</si>
  <si>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</si>
  <si>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</si>
  <si>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</si>
  <si>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</si>
  <si>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</si>
  <si>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</si>
  <si>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</si>
  <si>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</si>
  <si>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</si>
  <si>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</si>
  <si>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</si>
  <si>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</si>
  <si>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</si>
  <si>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</si>
  <si>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</si>
  <si>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</si>
  <si>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</si>
  <si>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</si>
  <si>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</si>
  <si>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</si>
  <si>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</si>
  <si>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</si>
  <si>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</si>
  <si>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</si>
  <si>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</si>
  <si>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</si>
  <si>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</si>
  <si>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</si>
  <si>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</si>
  <si>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</si>
  <si>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</si>
  <si>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</si>
  <si>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</si>
  <si>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</si>
  <si>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</si>
  <si>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</si>
  <si>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</si>
  <si>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</si>
  <si>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</si>
  <si>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</si>
  <si>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</si>
  <si>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</si>
  <si>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</si>
  <si>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</si>
  <si>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</si>
  <si>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</si>
  <si>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</si>
  <si>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</si>
  <si>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</si>
  <si>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</si>
  <si>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</si>
  <si>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</si>
  <si>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</si>
  <si>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</si>
  <si>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</si>
  <si>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</si>
  <si>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</si>
  <si>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</si>
  <si>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</si>
  <si>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</si>
  <si>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</si>
  <si>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</si>
  <si>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</si>
  <si>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</si>
  <si>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</si>
  <si>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</si>
  <si>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</si>
  <si>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</si>
  <si>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</si>
  <si>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</si>
  <si>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</si>
  <si>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</si>
  <si>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</si>
  <si>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</si>
  <si>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</si>
  <si>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</si>
  <si>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</si>
  <si>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</si>
  <si>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</si>
  <si>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</si>
  <si>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</si>
  <si>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</si>
  <si>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</si>
  <si>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</si>
  <si>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</si>
  <si>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</si>
  <si>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</si>
  <si>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</si>
  <si>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</si>
  <si>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</si>
  <si>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</si>
  <si>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</si>
  <si>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</si>
  <si>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</si>
  <si>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</si>
  <si>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</si>
  <si>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</si>
  <si>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</si>
  <si>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</si>
  <si>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</si>
  <si>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</si>
  <si>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</si>
  <si>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</si>
  <si>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</si>
  <si>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</si>
  <si>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</si>
  <si>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</si>
  <si>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</si>
  <si>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</si>
  <si>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</si>
  <si>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</si>
  <si>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</si>
  <si>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</si>
  <si>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</si>
  <si>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</si>
  <si>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</si>
  <si>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</si>
  <si>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</si>
  <si>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</si>
  <si>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</si>
  <si>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</si>
  <si>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</si>
  <si>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</si>
  <si>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</si>
  <si>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</si>
  <si>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</si>
  <si>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</si>
  <si>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</si>
  <si>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</si>
  <si>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</si>
  <si>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</si>
  <si>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</si>
  <si>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</si>
  <si>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</si>
  <si>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</si>
  <si>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</si>
  <si>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</si>
  <si>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</si>
  <si>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</si>
  <si>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</si>
  <si>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</si>
  <si>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</si>
  <si>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</si>
  <si>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</si>
  <si>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</si>
  <si>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</si>
  <si>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</si>
  <si>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</si>
  <si>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</si>
  <si>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</si>
  <si>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</si>
  <si>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</si>
  <si>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</si>
  <si>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</si>
  <si>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</si>
  <si>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</si>
  <si>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</si>
  <si>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</si>
  <si>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</si>
  <si>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</si>
  <si>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</si>
  <si>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</si>
  <si>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</si>
  <si>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</si>
  <si>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</si>
  <si>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</si>
  <si>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</si>
  <si>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</si>
  <si>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</si>
  <si>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</si>
  <si>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</si>
  <si>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</si>
  <si>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</si>
  <si>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</si>
  <si>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</si>
  <si>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</si>
  <si>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</si>
  <si>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</si>
  <si>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</si>
  <si>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</si>
  <si>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</si>
  <si>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</si>
  <si>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</si>
  <si>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</si>
  <si>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</si>
  <si>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</si>
  <si>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</si>
  <si>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</si>
  <si>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</si>
  <si>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</si>
  <si>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</si>
  <si>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</si>
  <si>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</si>
  <si>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</si>
  <si>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</si>
  <si>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</si>
  <si>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</si>
  <si>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</si>
  <si>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</si>
  <si>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</si>
  <si>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</si>
  <si>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</si>
  <si>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</si>
  <si>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</si>
  <si>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</si>
  <si>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</si>
  <si>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</si>
  <si>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</si>
  <si>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</si>
  <si>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</si>
  <si>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</si>
  <si>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</si>
  <si>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</si>
  <si>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</si>
  <si>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</si>
  <si>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</si>
  <si>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</si>
  <si>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</si>
  <si>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</si>
  <si>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</si>
  <si>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</si>
  <si>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</si>
  <si>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</si>
  <si>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</si>
  <si>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</si>
  <si>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</si>
  <si>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</si>
  <si>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</si>
  <si>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</si>
  <si>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</si>
  <si>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</si>
  <si>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</si>
  <si>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</si>
  <si>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</si>
  <si>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</si>
  <si>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</si>
  <si>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</si>
  <si>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</si>
  <si>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</si>
  <si>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</si>
  <si>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</si>
  <si>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</si>
  <si>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</si>
  <si>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</si>
  <si>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</si>
  <si>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</si>
  <si>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</si>
  <si>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</si>
  <si>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</si>
  <si>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</si>
  <si>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</si>
  <si>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</si>
  <si>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</si>
  <si>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</si>
  <si>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</si>
  <si>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</si>
  <si>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</si>
  <si>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</si>
  <si>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</si>
  <si>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</si>
  <si>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</si>
  <si>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</si>
  <si>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</si>
  <si>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</si>
  <si>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</si>
  <si>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</si>
  <si>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</si>
  <si>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</si>
  <si>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</si>
  <si>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</si>
  <si>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</si>
  <si>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</si>
  <si>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</si>
  <si>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</si>
  <si>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</si>
  <si>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</si>
  <si>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</si>
  <si>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</si>
  <si>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</si>
  <si>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</si>
  <si>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</si>
  <si>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</si>
  <si>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</si>
  <si>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</si>
  <si>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</si>
  <si>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</si>
  <si>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</si>
  <si>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</si>
  <si>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</si>
  <si>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</si>
  <si>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</si>
  <si>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</si>
  <si>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</si>
  <si>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</si>
  <si>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</si>
  <si>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</si>
  <si>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</si>
  <si>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</si>
  <si>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</si>
  <si>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</si>
  <si>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</si>
  <si>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</si>
  <si>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</si>
  <si>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</si>
  <si>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</si>
  <si>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</si>
  <si>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</si>
  <si>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</si>
  <si>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</si>
  <si>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</si>
  <si>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</si>
  <si>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</si>
  <si>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</si>
  <si>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</si>
  <si>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</si>
  <si>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</si>
  <si>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</si>
  <si>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</si>
  <si>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</si>
  <si>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</si>
  <si>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</si>
  <si>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</si>
  <si>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</si>
  <si>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</si>
  <si>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</si>
  <si>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</si>
  <si>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</si>
  <si>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</si>
  <si>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</si>
  <si>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</si>
  <si>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</si>
  <si>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</si>
  <si>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</si>
  <si>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</si>
  <si>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</si>
  <si>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</si>
  <si>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</si>
  <si>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</si>
  <si>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</si>
  <si>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</si>
  <si>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</si>
  <si>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</si>
  <si>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</si>
  <si>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</si>
  <si>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</si>
  <si>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</si>
  <si>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</si>
  <si>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</si>
  <si>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</si>
  <si>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</si>
  <si>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</si>
  <si>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</si>
  <si>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</si>
  <si>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</si>
  <si>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</si>
  <si>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</si>
  <si>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</si>
  <si>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</si>
  <si>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</si>
  <si>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</si>
  <si>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</si>
  <si>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</si>
  <si>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</si>
  <si>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</si>
  <si>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</si>
  <si>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</si>
  <si>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</si>
  <si>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</si>
  <si>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</si>
  <si>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</si>
  <si>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</si>
  <si>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</si>
  <si>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</si>
  <si>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</si>
  <si>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</si>
  <si>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</si>
  <si>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</si>
  <si>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</si>
  <si>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</si>
  <si>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</si>
  <si>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</si>
  <si>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</si>
  <si>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</si>
  <si>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</si>
  <si>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</si>
  <si>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</si>
  <si>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</si>
  <si>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</si>
  <si>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</si>
  <si>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</si>
  <si>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</si>
  <si>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</si>
  <si>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</si>
  <si>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</si>
  <si>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</si>
  <si>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</si>
  <si>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</si>
  <si>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</si>
  <si>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</si>
  <si>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</si>
  <si>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</si>
  <si>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</si>
  <si>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</si>
  <si>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</si>
  <si>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</si>
  <si>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</si>
  <si>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</si>
  <si>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</si>
  <si>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</si>
  <si>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</si>
  <si>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</si>
  <si>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</si>
  <si>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</si>
  <si>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</si>
  <si>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</si>
  <si>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</si>
  <si>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</si>
  <si>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</si>
  <si>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</si>
  <si>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</si>
  <si>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</si>
  <si>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</si>
  <si>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</si>
  <si>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</si>
  <si>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</si>
  <si>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</si>
  <si>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</si>
  <si>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</si>
  <si>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</si>
  <si>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</si>
  <si>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</si>
  <si>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</si>
  <si>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</si>
  <si>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</si>
  <si>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</si>
  <si>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</si>
  <si>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</si>
  <si>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</si>
  <si>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</si>
  <si>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</si>
  <si>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</si>
  <si>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</si>
  <si>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</si>
  <si>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</si>
  <si>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</si>
  <si>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</si>
  <si>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</si>
  <si>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</si>
  <si>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</si>
  <si>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</si>
  <si>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</si>
  <si>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</si>
  <si>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</si>
  <si>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</si>
  <si>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</si>
  <si>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</si>
  <si>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</si>
  <si>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</si>
  <si>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</si>
  <si>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</si>
  <si>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</si>
  <si>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</si>
  <si>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</si>
  <si>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</si>
  <si>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</si>
  <si>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</si>
  <si>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</si>
  <si>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</si>
  <si>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</si>
  <si>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</si>
  <si>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</si>
  <si>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</si>
  <si>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</si>
  <si>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</si>
  <si>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</si>
  <si>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</si>
  <si>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</si>
  <si>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</si>
  <si>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</si>
  <si>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</si>
  <si>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</si>
  <si>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</si>
  <si>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</si>
  <si>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</si>
  <si>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</si>
  <si>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</si>
  <si>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</si>
  <si>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</si>
  <si>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</si>
  <si>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</si>
  <si>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</si>
  <si>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</si>
  <si>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</si>
  <si>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</si>
  <si>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</si>
  <si>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</si>
  <si>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</si>
  <si>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</si>
  <si>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</si>
  <si>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</si>
  <si>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</si>
  <si>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</si>
  <si>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</si>
  <si>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</si>
  <si>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</si>
  <si>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</si>
  <si>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</si>
  <si>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</si>
  <si>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</si>
  <si>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</si>
  <si>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</si>
  <si>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</si>
  <si>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</si>
  <si>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</si>
  <si>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</si>
  <si>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</si>
  <si>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</si>
  <si>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</si>
  <si>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</si>
  <si>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</si>
  <si>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</si>
  <si>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</si>
  <si>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</si>
  <si>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</si>
  <si>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</si>
  <si>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</si>
  <si>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</si>
  <si>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</si>
  <si>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</si>
  <si>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</si>
  <si>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</si>
  <si>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</si>
  <si>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</si>
  <si>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</si>
  <si>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</si>
  <si>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</si>
  <si>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</si>
  <si>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</si>
  <si>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</si>
  <si>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</si>
  <si>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</si>
  <si>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</si>
  <si>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</si>
  <si>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</si>
  <si>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</si>
  <si>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</si>
  <si>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</si>
  <si>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</si>
  <si>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</si>
  <si>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</si>
  <si>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</si>
  <si>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</si>
  <si>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</si>
  <si>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</si>
  <si>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</si>
  <si>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</si>
  <si>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</si>
  <si>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</si>
  <si>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</si>
  <si>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</si>
  <si>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</si>
  <si>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</si>
  <si>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</si>
  <si>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</si>
  <si>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</si>
  <si>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</si>
  <si>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</si>
  <si>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</si>
  <si>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</si>
  <si>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</si>
  <si>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</si>
  <si>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</si>
  <si>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</si>
  <si>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</si>
  <si>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</si>
  <si>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</si>
  <si>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</si>
  <si>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</si>
  <si>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</si>
  <si>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</si>
  <si>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</si>
  <si>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</si>
  <si>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</si>
  <si>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</si>
  <si>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</si>
  <si>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</si>
  <si>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</si>
  <si>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</si>
  <si>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</si>
  <si>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</si>
  <si>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</si>
  <si>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</si>
  <si>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</si>
  <si>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</si>
  <si>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</si>
  <si>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</si>
  <si>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</si>
  <si>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</si>
  <si>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</si>
  <si>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</si>
  <si>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</si>
  <si>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</si>
  <si>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</si>
  <si>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</si>
  <si>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</si>
  <si>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</si>
  <si>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</si>
  <si>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</si>
  <si>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</si>
  <si>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</si>
  <si>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</si>
  <si>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</si>
  <si>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</si>
  <si>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</si>
  <si>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</si>
  <si>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</si>
  <si>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</si>
  <si>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</si>
  <si>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</si>
  <si>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</si>
  <si>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</si>
  <si>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</si>
  <si>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</si>
  <si>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</si>
  <si>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</si>
  <si>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</si>
  <si>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</si>
  <si>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</si>
  <si>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</si>
  <si>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</si>
  <si>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</si>
  <si>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</si>
  <si>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</si>
  <si>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</si>
  <si>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</si>
  <si>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</si>
  <si>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</si>
  <si>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</si>
  <si>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</si>
  <si>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</si>
  <si>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</si>
  <si>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</si>
  <si>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</si>
  <si>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</si>
  <si>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</si>
  <si>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</si>
  <si>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</si>
  <si>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</si>
  <si>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</si>
  <si>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</si>
  <si>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</si>
  <si>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</si>
  <si>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</si>
  <si>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</si>
  <si>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</si>
  <si>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</si>
  <si>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</si>
  <si>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</si>
  <si>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</si>
  <si>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</si>
  <si>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</si>
  <si>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</si>
  <si>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</si>
  <si>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</si>
  <si>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</si>
  <si>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</si>
  <si>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</si>
  <si>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</si>
  <si>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</si>
  <si>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</si>
  <si>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</si>
  <si>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</si>
  <si>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</si>
  <si>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</si>
  <si>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</si>
  <si>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</si>
  <si>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</si>
  <si>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</si>
  <si>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</si>
  <si>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</si>
  <si>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</si>
  <si>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</si>
  <si>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</si>
  <si>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</si>
  <si>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</si>
  <si>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</si>
  <si>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</si>
  <si>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</si>
  <si>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</si>
  <si>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</si>
  <si>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</si>
  <si>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</si>
  <si>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</si>
  <si>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</si>
  <si>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</si>
  <si>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</si>
  <si>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</si>
  <si>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</si>
  <si>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</si>
  <si>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</si>
  <si>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</si>
  <si>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Count of OrderID</t>
  </si>
  <si>
    <t>Sum of Quantity</t>
  </si>
  <si>
    <t>Grand Total</t>
  </si>
  <si>
    <t>2023</t>
  </si>
  <si>
    <t>2024</t>
  </si>
  <si>
    <t>2025</t>
  </si>
  <si>
    <t>Year</t>
  </si>
  <si>
    <t>Sum of TotalPrice</t>
  </si>
  <si>
    <t>Total Quantity</t>
  </si>
  <si>
    <t>Payment Method</t>
  </si>
  <si>
    <t>Order Status</t>
  </si>
  <si>
    <t>Coupon Code</t>
  </si>
  <si>
    <t>Referral Source</t>
  </si>
  <si>
    <t>Total Orders</t>
  </si>
  <si>
    <t>(Multiple Items)</t>
  </si>
  <si>
    <t>Average of TotalPrice</t>
  </si>
  <si>
    <t>Min. of TotalPrice2</t>
  </si>
  <si>
    <t>Max. of TotalPrice3</t>
  </si>
  <si>
    <t>Sum of Total Price Excluding Cancelled Orders</t>
  </si>
  <si>
    <t>KPIs</t>
  </si>
  <si>
    <t>Count of Orders by Status</t>
  </si>
  <si>
    <t>Order Frequency by Payment Method</t>
  </si>
  <si>
    <t>Count of Orders by Coupon Use</t>
  </si>
  <si>
    <t>Orders by Referral</t>
  </si>
  <si>
    <t>Product Summary</t>
  </si>
  <si>
    <t>Order Yearly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</si>
</sst>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70" formatCode="\$#,##0.00"/>
    <numFmt numFmtId="172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  <xf numFmtId="3" fontId="0" fillId="0" borderId="0" xfId="0" applyNumberFormat="1"/>
    <xf numFmtId="172" fontId="0" fillId="0" borderId="0" xfId="1" applyNumberFormat="1" applyFont="1"/>
    <xf numFmtId="0" fontId="3" fillId="2" borderId="0" xfId="2"/>
  </cellXfs>
  <cellStyles count="3">
    <cellStyle name="Comma" xfId="1" builtinId="3"/>
    <cellStyle name="Good" xfId="2" builtinId="26"/>
    <cellStyle name="Normal" xfId="0" builtinId="0"/>
  </cellStyles>
  <dxfs count="73">
    <dxf>
      <numFmt numFmtId="19" formatCode="dd/mm/yyyy"/>
    </dxf>
    <dxf>
      <numFmt numFmtId="0" formatCode="General"/>
    </dxf>
    <dxf>
      <numFmt numFmtId="0" formatCode="General"/>
    </dxf>
    <dxf>
      <numFmt numFmtId="170" formatCode="\$#,##0.00"/>
    </dxf>
    <dxf>
      <numFmt numFmtId="3" formatCode="#,##0"/>
    </dxf>
    <dxf>
      <numFmt numFmtId="170" formatCode="\$#,##0.00"/>
    </dxf>
    <dxf>
      <numFmt numFmtId="3" formatCode="#,##0"/>
    </dxf>
    <dxf>
      <numFmt numFmtId="170" formatCode="\$#,##0.00"/>
    </dxf>
    <dxf>
      <numFmt numFmtId="3" formatCode="#,##0"/>
    </dxf>
    <dxf>
      <numFmt numFmtId="170" formatCode="\$#,##0.00"/>
    </dxf>
    <dxf>
      <numFmt numFmtId="3" formatCode="#,##0"/>
    </dxf>
    <dxf>
      <numFmt numFmtId="170" formatCode="\$#,##0.00"/>
    </dxf>
    <dxf>
      <numFmt numFmtId="170" formatCode="\$#,##0.00"/>
    </dxf>
    <dxf>
      <numFmt numFmtId="170" formatCode="\$#,##0.00"/>
    </dxf>
    <dxf>
      <numFmt numFmtId="3" formatCode="#,##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3" formatCode="#,##0"/>
    </dxf>
    <dxf>
      <numFmt numFmtId="170" formatCode="\$#,##0.00"/>
    </dxf>
    <dxf>
      <numFmt numFmtId="170" formatCode="\$#,##0.00"/>
    </dxf>
    <dxf>
      <numFmt numFmtId="3" formatCode="#,##0"/>
    </dxf>
    <dxf>
      <numFmt numFmtId="3" formatCode="#,##0"/>
    </dxf>
    <dxf>
      <numFmt numFmtId="170" formatCode="\$#,##0.00"/>
    </dxf>
    <dxf>
      <numFmt numFmtId="170" formatCode="\$#,##0.00"/>
    </dxf>
    <dxf>
      <numFmt numFmtId="170" formatCode="\$#,##0.00"/>
    </dxf>
    <dxf>
      <numFmt numFmtId="3" formatCode="#,##0"/>
    </dxf>
    <dxf>
      <numFmt numFmtId="3" formatCode="#,##0"/>
    </dxf>
    <dxf>
      <numFmt numFmtId="170" formatCode="\$#,##0.00"/>
    </dxf>
    <dxf>
      <numFmt numFmtId="3" formatCode="#,##0"/>
    </dxf>
    <dxf>
      <numFmt numFmtId="3" formatCode="#,##0"/>
    </dxf>
    <dxf>
      <numFmt numFmtId="170" formatCode="\$#,##0.00"/>
    </dxf>
    <dxf>
      <numFmt numFmtId="3" formatCode="#,##0"/>
    </dxf>
    <dxf>
      <numFmt numFmtId="3" formatCode="#,##0"/>
    </dxf>
    <dxf>
      <numFmt numFmtId="170" formatCode="\$#,##0.00"/>
    </dxf>
    <dxf>
      <numFmt numFmtId="3" formatCode="#,##0"/>
    </dxf>
    <dxf>
      <numFmt numFmtId="3" formatCode="#,##0"/>
    </dxf>
    <dxf>
      <numFmt numFmtId="170" formatCode="\$#,##0.00"/>
    </dxf>
    <dxf>
      <numFmt numFmtId="3" formatCode="#,##0"/>
    </dxf>
    <dxf>
      <numFmt numFmtId="3" formatCode="#,##0"/>
    </dxf>
    <dxf>
      <numFmt numFmtId="170" formatCode="\$#,##0.00"/>
    </dxf>
    <dxf>
      <numFmt numFmtId="3" formatCode="#,##0"/>
    </dxf>
    <dxf>
      <numFmt numFmtId="170" formatCode="\$#,##0.00"/>
    </dxf>
    <dxf>
      <numFmt numFmtId="3" formatCode="#,##0"/>
    </dxf>
    <dxf>
      <numFmt numFmtId="170" formatCode="\$#,##0.00"/>
    </dxf>
    <dxf>
      <numFmt numFmtId="3" formatCode="#,##0"/>
    </dxf>
    <dxf>
      <numFmt numFmtId="170" formatCode="\$#,##0.00"/>
    </dxf>
    <dxf>
      <numFmt numFmtId="3" formatCode="#,##0"/>
    </dxf>
    <dxf>
      <numFmt numFmtId="3" formatCode="#,##0"/>
    </dxf>
    <dxf>
      <numFmt numFmtId="3" formatCode="#,##0"/>
    </dxf>
    <dxf>
      <numFmt numFmtId="170" formatCode="\$#,##0.00"/>
    </dxf>
    <dxf>
      <numFmt numFmtId="170" formatCode="\$#,##0.00"/>
    </dxf>
    <dxf>
      <numFmt numFmtId="170" formatCode="\$#,##0.00"/>
    </dxf>
    <dxf>
      <numFmt numFmtId="170" formatCode="\$#,##0.00"/>
    </dxf>
    <dxf>
      <numFmt numFmtId="3" formatCode="#,##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3" formatCode="#,##0"/>
    </dxf>
    <dxf>
      <numFmt numFmtId="170" formatCode="\$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6181.360853935184" createdVersion="8" refreshedVersion="8" minRefreshableVersion="3" recordCount="1200" xr:uid="{7775565E-E009-0449-8CF6-ADB8B292DCD5}">
  <cacheSource type="worksheet">
    <worksheetSource name="Sheet1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/A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000000000000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0000000000009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0999999999999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39999999999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000000000009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1000000000006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000000000000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799999999998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000000000000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4999999999991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3999999999994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399999999999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000000000007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000000000009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1999999999994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27FCB-4F95-6044-B5E5-7426D6B01A33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B10:B11" firstHeaderRow="1" firstDataRow="1" firstDataCol="0" rowPageCount="1" colPageCount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pageFields count="1">
    <pageField fld="8" hier="-1"/>
  </pageFields>
  <dataFields count="1">
    <dataField name="Sum of TotalPrice" fld="13" baseField="0" baseItem="0" numFmtId="170"/>
  </dataFields>
  <formats count="1"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0F97C-F15B-8847-A2E2-4096424AA6D7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B2:G3" firstHeaderRow="0" firstDataRow="1" firstDataCol="0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Orders" fld="0" subtotal="count" baseField="0" baseItem="0" numFmtId="3"/>
    <dataField name="Sum of Quantity" fld="4" baseField="0" baseItem="0" numFmtId="3"/>
    <dataField name="Sum of TotalPrice" fld="13" baseField="0" baseItem="0" numFmtId="170"/>
    <dataField name="Average of TotalPrice" fld="13" subtotal="average" baseField="0" baseItem="0" numFmtId="170"/>
    <dataField name="Min. of TotalPrice2" fld="13" subtotal="min" baseField="0" baseItem="0" numFmtId="170"/>
    <dataField name="Max. of TotalPrice3" fld="13" subtotal="max" baseField="0" baseItem="0" numFmtId="170"/>
  </dataFields>
  <formats count="4">
    <format dxfId="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0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DFD37-D7BE-BC42-A59C-CC83439B849A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J18:K24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ID" fld="0" subtotal="count" baseField="0" baseItem="0" numFmtId="172"/>
  </dataFields>
  <formats count="2">
    <format dxfId="63">
      <pivotArea outline="0" collapsedLevelsAreSubtotals="1" fieldPosition="0"/>
    </format>
    <format dxfId="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39B4A-4C2D-2445-A054-21AA290AB7D9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 Code">
  <location ref="G18:H23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OrderID" fld="0" subtotal="count" baseField="0" baseItem="0" numFmtId="172"/>
  </dataFields>
  <formats count="2">
    <format dxfId="61">
      <pivotArea outline="0" collapsedLevelsAreSubtotals="1" fieldPosition="0"/>
    </format>
    <format dxfId="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27125-F737-CF48-BCC6-E16DBD0E9340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J7:K13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 numFmtId="172"/>
  </dataFields>
  <formats count="2">
    <format dxfId="59">
      <pivotArea outline="0" collapsedLevelsAreSubtotals="1" fieldPosition="0"/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C49C2-D989-FC4B-B8B6-7B30454A837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G27:J35" firstHeaderRow="0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 numFmtId="3"/>
    <dataField name="Total Quantity" fld="4" baseField="0" baseItem="0" numFmtId="3"/>
    <dataField name="Sum of TotalPrice" fld="13" baseField="0" baseItem="0" numFmtId="170"/>
  </dataFields>
  <formats count="2">
    <format dxfId="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175F5-A5DD-3D46-8D40-7ABEF916AF3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D17:E21" firstHeaderRow="1" firstDataRow="1" firstDataCol="1"/>
  <pivotFields count="17">
    <pivotField dataField="1" showAll="0"/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6"/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 numFmtId="3"/>
  </dataFields>
  <formats count="1"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48DEB-37AC-AB47-8A0D-80F821769C34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G7:H13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 numFmtId="172"/>
  </dataFields>
  <formats count="2">
    <format dxfId="57">
      <pivotArea outline="0" collapsedLevelsAreSubtotals="1" fieldPosition="0"/>
    </format>
    <format dxfId="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3A6ECE-FA99-6541-8EC6-522EBC918A41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AFAB2-AB5E-1A43-9EA8-277AE1EB1266}" name="Sheet1" displayName="Sheet1" ref="A1:N1201" tableType="queryTable" totalsRowShown="0">
  <autoFilter ref="A1:N1201" xr:uid="{F07AFAB2-AB5E-1A43-9EA8-277AE1EB1266}"/>
  <tableColumns count="14">
    <tableColumn id="1" xr3:uid="{D25E024B-D05A-D84F-BA82-2786D968D311}" uniqueName="1" name="OrderID" queryTableFieldId="1" dataDxfId="2"/>
    <tableColumn id="2" xr3:uid="{F28F6AAA-A541-4549-8EEF-82424DF30A4E}" uniqueName="2" name="Date" queryTableFieldId="2" dataDxfId="0"/>
    <tableColumn id="3" xr3:uid="{7524BA20-0BE2-7644-AA06-1304239E7582}" uniqueName="3" name="CustomerID" queryTableFieldId="3" dataDxfId="1"/>
    <tableColumn id="4" xr3:uid="{934694B7-F364-B04E-BD6A-ECF54B972A17}" uniqueName="4" name="Product" queryTableFieldId="4" dataDxfId="72"/>
    <tableColumn id="5" xr3:uid="{497F39B0-A7A3-9A40-89FE-FC0D418A3278}" uniqueName="5" name="Quantity" queryTableFieldId="5"/>
    <tableColumn id="6" xr3:uid="{AB84E37C-A6D3-E049-9133-2D747DAFD6A0}" uniqueName="6" name="UnitPrice" queryTableFieldId="6"/>
    <tableColumn id="7" xr3:uid="{BC0F6CE7-C624-9A4F-BDCC-2BA2DA212B8F}" uniqueName="7" name="ShippingAddress" queryTableFieldId="7" dataDxfId="71"/>
    <tableColumn id="8" xr3:uid="{B840B841-F398-A94B-8619-4EAFA91174DA}" uniqueName="8" name="PaymentMethod" queryTableFieldId="8" dataDxfId="70"/>
    <tableColumn id="9" xr3:uid="{F48A3991-A280-F141-A2EA-836C03E60AE9}" uniqueName="9" name="OrderStatus" queryTableFieldId="9" dataDxfId="69"/>
    <tableColumn id="10" xr3:uid="{98A6F541-5B44-9548-9B38-BC1092121A8C}" uniqueName="10" name="TrackingNumber" queryTableFieldId="10" dataDxfId="68"/>
    <tableColumn id="11" xr3:uid="{964F4D81-97D8-EB48-8C23-192E5BF133F0}" uniqueName="11" name="ItemsInCart" queryTableFieldId="11"/>
    <tableColumn id="12" xr3:uid="{CCBEA1E9-B49C-4E4B-9ECB-58D9334C5CF8}" uniqueName="12" name="CouponCode" queryTableFieldId="12" dataDxfId="67"/>
    <tableColumn id="13" xr3:uid="{D5C462A1-C734-1745-98E3-CB1CFA78C4F5}" uniqueName="13" name="ReferralSource" queryTableFieldId="13" dataDxfId="66"/>
    <tableColumn id="14" xr3:uid="{4B2DA51E-5A0B-4C41-A455-E142242434D2}" uniqueName="14" name="TotalPrice" queryTableFieldId="14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I29" sqref="I29"/>
    </sheetView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  <col min="3" max="3" width="10.33203125" bestFit="1" customWidth="1"/>
    <col min="4" max="4" width="7.5" bestFit="1" customWidth="1"/>
    <col min="5" max="5" width="8" bestFit="1" customWidth="1"/>
    <col min="6" max="6" width="8.5" bestFit="1" customWidth="1"/>
    <col min="7" max="7" width="14" bestFit="1" customWidth="1"/>
    <col min="8" max="8" width="14.33203125" bestFit="1" customWidth="1"/>
    <col min="9" max="9" width="10.33203125" bestFit="1" customWidth="1"/>
    <col min="10" max="10" width="13.83203125" bestFit="1" customWidth="1"/>
    <col min="11" max="11" width="10.1640625" bestFit="1" customWidth="1"/>
    <col min="12" max="12" width="11.1640625" bestFit="1" customWidth="1"/>
    <col min="13" max="13" width="12.6640625" bestFit="1" customWidth="1"/>
    <col min="14" max="14" width="9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9A0E-3C2A-D74F-B8BB-506E3326CB04}">
  <dimension ref="A1:N1201"/>
  <sheetViews>
    <sheetView workbookViewId="0">
      <selection activeCell="C8" sqref="C8"/>
    </sheetView>
  </sheetViews>
  <sheetFormatPr baseColWidth="10" defaultRowHeight="15" x14ac:dyDescent="0.2"/>
  <cols>
    <col min="1" max="1" width="10.5" bestFit="1" customWidth="1"/>
    <col min="2" max="2" width="10.5" style="3" bestFit="1" customWidth="1"/>
    <col min="3" max="3" width="12.83203125" bestFit="1" customWidth="1"/>
    <col min="4" max="4" width="9.83203125" bestFit="1" customWidth="1"/>
    <col min="5" max="5" width="10.5" bestFit="1" customWidth="1"/>
    <col min="6" max="6" width="11" bestFit="1" customWidth="1"/>
    <col min="7" max="7" width="16.5" bestFit="1" customWidth="1"/>
    <col min="8" max="8" width="16.83203125" bestFit="1" customWidth="1"/>
    <col min="9" max="9" width="12.83203125" bestFit="1" customWidth="1"/>
    <col min="10" max="10" width="16.33203125" bestFit="1" customWidth="1"/>
    <col min="11" max="11" width="12.6640625" bestFit="1" customWidth="1"/>
    <col min="12" max="12" width="13.6640625" bestFit="1" customWidth="1"/>
    <col min="13" max="13" width="15.1640625" bestFit="1" customWidth="1"/>
    <col min="14" max="14" width="11.5" bestFit="1" customWidth="1"/>
  </cols>
  <sheetData>
    <row r="1" spans="1:14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662C-4224-8B49-BAA5-29A8A8ADCEC6}">
  <dimension ref="B1:K35"/>
  <sheetViews>
    <sheetView workbookViewId="0">
      <selection activeCell="B14" sqref="B14"/>
    </sheetView>
  </sheetViews>
  <sheetFormatPr baseColWidth="10" defaultRowHeight="15" x14ac:dyDescent="0.2"/>
  <cols>
    <col min="2" max="2" width="39.5" bestFit="1" customWidth="1"/>
    <col min="3" max="3" width="14.1640625" bestFit="1" customWidth="1"/>
    <col min="4" max="4" width="16.6640625" bestFit="1" customWidth="1"/>
    <col min="5" max="6" width="14.5" bestFit="1" customWidth="1"/>
    <col min="7" max="7" width="32.1640625" bestFit="1" customWidth="1"/>
    <col min="8" max="8" width="15.1640625" style="8" bestFit="1" customWidth="1"/>
    <col min="10" max="10" width="22.33203125" bestFit="1" customWidth="1"/>
    <col min="11" max="11" width="15.1640625" style="8" bestFit="1" customWidth="1"/>
    <col min="13" max="13" width="39.5" bestFit="1" customWidth="1"/>
    <col min="14" max="14" width="13.5" bestFit="1" customWidth="1"/>
    <col min="15" max="15" width="14.5" bestFit="1" customWidth="1"/>
    <col min="16" max="16" width="17.6640625" bestFit="1" customWidth="1"/>
    <col min="17" max="17" width="15.83203125" bestFit="1" customWidth="1"/>
    <col min="18" max="18" width="16" bestFit="1" customWidth="1"/>
  </cols>
  <sheetData>
    <row r="1" spans="2:11" ht="16" x14ac:dyDescent="0.2">
      <c r="B1" s="9" t="s">
        <v>4303</v>
      </c>
    </row>
    <row r="2" spans="2:11" x14ac:dyDescent="0.2">
      <c r="B2" t="s">
        <v>4297</v>
      </c>
      <c r="C2" t="s">
        <v>4285</v>
      </c>
      <c r="D2" t="s">
        <v>4291</v>
      </c>
      <c r="E2" t="s">
        <v>4299</v>
      </c>
      <c r="F2" t="s">
        <v>4300</v>
      </c>
      <c r="G2" t="s">
        <v>4301</v>
      </c>
    </row>
    <row r="3" spans="2:11" x14ac:dyDescent="0.2">
      <c r="B3" s="7">
        <v>1200</v>
      </c>
      <c r="C3" s="7">
        <v>3535</v>
      </c>
      <c r="D3" s="6">
        <v>1264761.9600000004</v>
      </c>
      <c r="E3" s="6">
        <v>1053.9683000000005</v>
      </c>
      <c r="F3" s="6">
        <v>11.39</v>
      </c>
      <c r="G3" s="6">
        <v>3456.4</v>
      </c>
    </row>
    <row r="6" spans="2:11" ht="16" x14ac:dyDescent="0.2">
      <c r="G6" s="9" t="s">
        <v>4305</v>
      </c>
      <c r="J6" s="9" t="s">
        <v>4304</v>
      </c>
    </row>
    <row r="7" spans="2:11" ht="16" x14ac:dyDescent="0.2">
      <c r="B7" s="9" t="s">
        <v>4302</v>
      </c>
      <c r="G7" s="4" t="s">
        <v>4293</v>
      </c>
      <c r="H7" s="8" t="s">
        <v>4284</v>
      </c>
      <c r="J7" s="4" t="s">
        <v>4294</v>
      </c>
      <c r="K7" s="8" t="s">
        <v>4284</v>
      </c>
    </row>
    <row r="8" spans="2:11" x14ac:dyDescent="0.2">
      <c r="B8" s="4" t="s">
        <v>8</v>
      </c>
      <c r="C8" t="s">
        <v>4298</v>
      </c>
      <c r="G8" s="5" t="s">
        <v>3066</v>
      </c>
      <c r="H8" s="8">
        <v>258</v>
      </c>
      <c r="J8" s="5" t="s">
        <v>3071</v>
      </c>
      <c r="K8" s="8">
        <v>250</v>
      </c>
    </row>
    <row r="9" spans="2:11" x14ac:dyDescent="0.2">
      <c r="G9" s="5" t="s">
        <v>3069</v>
      </c>
      <c r="H9" s="8">
        <v>246</v>
      </c>
      <c r="J9" s="5" t="s">
        <v>3072</v>
      </c>
      <c r="K9" s="8">
        <v>247</v>
      </c>
    </row>
    <row r="10" spans="2:11" x14ac:dyDescent="0.2">
      <c r="B10" t="s">
        <v>4291</v>
      </c>
      <c r="G10" s="5" t="s">
        <v>3067</v>
      </c>
      <c r="H10" s="8">
        <v>234</v>
      </c>
      <c r="J10" s="5" t="s">
        <v>3074</v>
      </c>
      <c r="K10" s="8">
        <v>237</v>
      </c>
    </row>
    <row r="11" spans="2:11" x14ac:dyDescent="0.2">
      <c r="B11" s="6">
        <v>988365.75000000035</v>
      </c>
      <c r="G11" s="5" t="s">
        <v>3065</v>
      </c>
      <c r="H11" s="8">
        <v>232</v>
      </c>
      <c r="J11" s="5" t="s">
        <v>3070</v>
      </c>
      <c r="K11" s="8">
        <v>235</v>
      </c>
    </row>
    <row r="12" spans="2:11" x14ac:dyDescent="0.2">
      <c r="G12" s="5" t="s">
        <v>3068</v>
      </c>
      <c r="H12" s="8">
        <v>230</v>
      </c>
      <c r="J12" s="5" t="s">
        <v>3073</v>
      </c>
      <c r="K12" s="8">
        <v>231</v>
      </c>
    </row>
    <row r="13" spans="2:11" x14ac:dyDescent="0.2">
      <c r="G13" s="5" t="s">
        <v>4286</v>
      </c>
      <c r="H13" s="8">
        <v>1200</v>
      </c>
      <c r="J13" s="5" t="s">
        <v>4286</v>
      </c>
      <c r="K13" s="8">
        <v>1200</v>
      </c>
    </row>
    <row r="16" spans="2:11" ht="16" x14ac:dyDescent="0.2">
      <c r="D16" s="9" t="s">
        <v>4309</v>
      </c>
    </row>
    <row r="17" spans="4:11" ht="16" x14ac:dyDescent="0.2">
      <c r="D17" s="4" t="s">
        <v>4290</v>
      </c>
      <c r="E17" t="s">
        <v>4284</v>
      </c>
      <c r="G17" s="9" t="s">
        <v>4306</v>
      </c>
      <c r="J17" s="9" t="s">
        <v>4307</v>
      </c>
    </row>
    <row r="18" spans="4:11" x14ac:dyDescent="0.2">
      <c r="D18" s="5" t="s">
        <v>4287</v>
      </c>
      <c r="E18" s="7">
        <v>510</v>
      </c>
      <c r="G18" s="4" t="s">
        <v>4295</v>
      </c>
      <c r="H18" s="8" t="s">
        <v>4284</v>
      </c>
      <c r="J18" s="4" t="s">
        <v>4296</v>
      </c>
      <c r="K18" s="8" t="s">
        <v>4284</v>
      </c>
    </row>
    <row r="19" spans="4:11" x14ac:dyDescent="0.2">
      <c r="D19" s="5" t="s">
        <v>4288</v>
      </c>
      <c r="E19" s="7">
        <v>459</v>
      </c>
      <c r="G19" s="5" t="s">
        <v>4276</v>
      </c>
      <c r="H19" s="8">
        <v>313</v>
      </c>
      <c r="J19" s="5" t="s">
        <v>4278</v>
      </c>
      <c r="K19" s="8">
        <v>259</v>
      </c>
    </row>
    <row r="20" spans="4:11" x14ac:dyDescent="0.2">
      <c r="D20" s="5" t="s">
        <v>4289</v>
      </c>
      <c r="E20" s="7">
        <v>231</v>
      </c>
      <c r="G20" s="5" t="s">
        <v>4283</v>
      </c>
      <c r="H20" s="8">
        <v>309</v>
      </c>
      <c r="J20" s="5" t="s">
        <v>4280</v>
      </c>
      <c r="K20" s="8">
        <v>250</v>
      </c>
    </row>
    <row r="21" spans="4:11" x14ac:dyDescent="0.2">
      <c r="D21" s="5" t="s">
        <v>4286</v>
      </c>
      <c r="E21" s="7">
        <v>1200</v>
      </c>
      <c r="G21" s="5" t="s">
        <v>4277</v>
      </c>
      <c r="H21" s="8">
        <v>292</v>
      </c>
      <c r="J21" s="5" t="s">
        <v>4282</v>
      </c>
      <c r="K21" s="8">
        <v>241</v>
      </c>
    </row>
    <row r="22" spans="4:11" x14ac:dyDescent="0.2">
      <c r="G22" s="5" t="s">
        <v>4275</v>
      </c>
      <c r="H22" s="8">
        <v>286</v>
      </c>
      <c r="J22" s="5" t="s">
        <v>4281</v>
      </c>
      <c r="K22" s="8">
        <v>228</v>
      </c>
    </row>
    <row r="23" spans="4:11" x14ac:dyDescent="0.2">
      <c r="G23" s="5" t="s">
        <v>4286</v>
      </c>
      <c r="H23" s="8">
        <v>1200</v>
      </c>
      <c r="J23" s="5" t="s">
        <v>4279</v>
      </c>
      <c r="K23" s="8">
        <v>222</v>
      </c>
    </row>
    <row r="24" spans="4:11" x14ac:dyDescent="0.2">
      <c r="J24" s="5" t="s">
        <v>4286</v>
      </c>
      <c r="K24" s="8">
        <v>1200</v>
      </c>
    </row>
    <row r="26" spans="4:11" ht="16" x14ac:dyDescent="0.2">
      <c r="G26" s="9" t="s">
        <v>4308</v>
      </c>
    </row>
    <row r="27" spans="4:11" x14ac:dyDescent="0.2">
      <c r="G27" s="4" t="s">
        <v>3</v>
      </c>
      <c r="H27" t="s">
        <v>4284</v>
      </c>
      <c r="I27" t="s">
        <v>4292</v>
      </c>
      <c r="J27" t="s">
        <v>4291</v>
      </c>
    </row>
    <row r="28" spans="4:11" x14ac:dyDescent="0.2">
      <c r="G28" s="5" t="s">
        <v>2406</v>
      </c>
      <c r="H28" s="7">
        <v>178</v>
      </c>
      <c r="I28" s="7">
        <v>562</v>
      </c>
      <c r="J28" s="6">
        <v>195620.11000000002</v>
      </c>
    </row>
    <row r="29" spans="4:11" x14ac:dyDescent="0.2">
      <c r="G29" s="5" t="s">
        <v>2407</v>
      </c>
      <c r="H29" s="7">
        <v>181</v>
      </c>
      <c r="I29" s="7">
        <v>542</v>
      </c>
      <c r="J29" s="6">
        <v>195612.60999999996</v>
      </c>
    </row>
    <row r="30" spans="4:11" x14ac:dyDescent="0.2">
      <c r="G30" s="5" t="s">
        <v>2408</v>
      </c>
      <c r="H30" s="7">
        <v>173</v>
      </c>
      <c r="I30" s="7">
        <v>535</v>
      </c>
      <c r="J30" s="6">
        <v>192126.55999999994</v>
      </c>
    </row>
    <row r="31" spans="4:11" x14ac:dyDescent="0.2">
      <c r="G31" s="5" t="s">
        <v>2405</v>
      </c>
      <c r="H31" s="7">
        <v>179</v>
      </c>
      <c r="I31" s="7">
        <v>497</v>
      </c>
      <c r="J31" s="6">
        <v>186568.95000000007</v>
      </c>
    </row>
    <row r="32" spans="4:11" x14ac:dyDescent="0.2">
      <c r="G32" s="5" t="s">
        <v>2403</v>
      </c>
      <c r="H32" s="7">
        <v>163</v>
      </c>
      <c r="I32" s="7">
        <v>480</v>
      </c>
      <c r="J32" s="6">
        <v>175651.40999999997</v>
      </c>
    </row>
    <row r="33" spans="7:10" x14ac:dyDescent="0.2">
      <c r="G33" s="5" t="s">
        <v>2409</v>
      </c>
      <c r="H33" s="7">
        <v>170</v>
      </c>
      <c r="I33" s="7">
        <v>508</v>
      </c>
      <c r="J33" s="6">
        <v>167459.93</v>
      </c>
    </row>
    <row r="34" spans="7:10" x14ac:dyDescent="0.2">
      <c r="G34" s="5" t="s">
        <v>2404</v>
      </c>
      <c r="H34" s="7">
        <v>156</v>
      </c>
      <c r="I34" s="7">
        <v>411</v>
      </c>
      <c r="J34" s="6">
        <v>151722.39000000001</v>
      </c>
    </row>
    <row r="35" spans="7:10" x14ac:dyDescent="0.2">
      <c r="G35" s="5" t="s">
        <v>4286</v>
      </c>
      <c r="H35" s="7">
        <v>1200</v>
      </c>
      <c r="I35" s="7">
        <v>3535</v>
      </c>
      <c r="J35" s="6">
        <v>1264761.959999999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6F229-E5A7-A942-91D6-AB7DAC539A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stellababayemi@gmail.com</cp:lastModifiedBy>
  <dcterms:created xsi:type="dcterms:W3CDTF">2025-06-21T13:19:12Z</dcterms:created>
  <dcterms:modified xsi:type="dcterms:W3CDTF">2026-06-10T01:04:50Z</dcterms:modified>
</cp:coreProperties>
</file>